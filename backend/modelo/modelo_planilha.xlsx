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FEC97439-E31B-1F44-8CCF-A9F82C0AFD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dwX/yjmZyBOPUaCzRaFTYlmJQeTZ6gSGHJiF+K49ss="/>
    </ext>
  </extLst>
</workbook>
</file>

<file path=xl/calcChain.xml><?xml version="1.0" encoding="utf-8"?>
<calcChain xmlns="http://schemas.openxmlformats.org/spreadsheetml/2006/main">
  <c r="K75" i="1" l="1"/>
  <c r="K60" i="1"/>
  <c r="K59" i="1"/>
  <c r="K58" i="1"/>
  <c r="J57" i="1"/>
  <c r="K57" i="1"/>
  <c r="H55" i="1"/>
</calcChain>
</file>

<file path=xl/sharedStrings.xml><?xml version="1.0" encoding="utf-8"?>
<sst xmlns="http://schemas.openxmlformats.org/spreadsheetml/2006/main" count="71" uniqueCount="45">
  <si>
    <t>Nome:</t>
  </si>
  <si>
    <t>Matrícula:</t>
  </si>
  <si>
    <t>Mês:</t>
  </si>
  <si>
    <t>REEMBOLSO QUILOMETRAGEM</t>
  </si>
  <si>
    <t xml:space="preserve">Thais Mota de Sousa </t>
  </si>
  <si>
    <t>abril /Maio</t>
  </si>
  <si>
    <t>RQ</t>
  </si>
  <si>
    <t>Função:</t>
  </si>
  <si>
    <t>Divisão:</t>
  </si>
  <si>
    <t>C.C.:</t>
  </si>
  <si>
    <t>Regional</t>
  </si>
  <si>
    <t>Promotor de vendas</t>
  </si>
  <si>
    <t>Dia</t>
  </si>
  <si>
    <t>Empresa / órgão / pessoa contatada / percurso</t>
  </si>
  <si>
    <t>Km</t>
  </si>
  <si>
    <t>Assunto / observações</t>
  </si>
  <si>
    <t>30/04/2026</t>
  </si>
  <si>
    <t xml:space="preserve">Casa - Telhanorte Anhanguera - Casa </t>
  </si>
  <si>
    <t xml:space="preserve">Casa - Sodimac Home Center campinas - Casa </t>
  </si>
  <si>
    <t xml:space="preserve">Casa - Sodimac Dom Pedro - Casa </t>
  </si>
  <si>
    <t xml:space="preserve">Casa - Sodimac Indaiatuba - Casa </t>
  </si>
  <si>
    <t>13/05/2026</t>
  </si>
  <si>
    <t>14/05/2026</t>
  </si>
  <si>
    <t>15/05/2026</t>
  </si>
  <si>
    <t>16/05/2026</t>
  </si>
  <si>
    <t xml:space="preserve">Casa - Sodimac Sumaré - Casa </t>
  </si>
  <si>
    <t xml:space="preserve">Casa - Sodimac Limeira - Casa </t>
  </si>
  <si>
    <t xml:space="preserve"> </t>
  </si>
  <si>
    <t>Visto sup. imed. / Ger.filial</t>
  </si>
  <si>
    <t>Visto diretor Área / Ger. Regional</t>
  </si>
  <si>
    <t>Até data</t>
  </si>
  <si>
    <t>Custo Km</t>
  </si>
  <si>
    <t>Quant. Km</t>
  </si>
  <si>
    <t>Total reemb</t>
  </si>
  <si>
    <t>Assinatura Funcionário:</t>
  </si>
  <si>
    <t>REEMBOLSO PEDÁGIO</t>
  </si>
  <si>
    <t>RP</t>
  </si>
  <si>
    <t>PLANILHA DE PEDÁGIOS E ESTACIONAMENTO</t>
  </si>
  <si>
    <t>DATA</t>
  </si>
  <si>
    <t xml:space="preserve">VALOR </t>
  </si>
  <si>
    <t>PEDÁGIO OU ESTACIONAMENTO</t>
  </si>
  <si>
    <t xml:space="preserve">Sodimac Indaiatuba </t>
  </si>
  <si>
    <t xml:space="preserve">Sodimac Limeira </t>
  </si>
  <si>
    <t>TOTAL:</t>
  </si>
  <si>
    <t>ANEXE ABAIXO OS COMPROVANTES DE PEDÁGIO OU ESTACIONAMENTO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</si>
</sst>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&quot;R$&quot;#,##0.00_);&quot;(R$&quot;#,##0.00\)"/>
    <numFmt numFmtId="166" formatCode="&quot;R$&quot;\ #,##0.00"/>
    <numFmt numFmtId="167" formatCode="_(&quot;R$ &quot;* #,##0.00_);_(&quot;R$ &quot;* \(#,##0.00\);_(&quot;R$ &quot;* &quot;-&quot;??_);_(@_)"/>
    <numFmt numFmtId="168" formatCode="_-[$R$-416]\ * #,##0.00_-;\-[$R$-416]\ * #,##0.00_-;_-[$R$-416]\ * &quot;-&quot;??_-;_-@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6"/>
      <color theme="1"/>
      <name val="Arial"/>
    </font>
    <font>
      <sz val="10"/>
      <name val="Arial"/>
    </font>
    <font>
      <sz val="42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sz val="9"/>
      <color theme="1"/>
      <name val="Arial"/>
    </font>
    <font>
      <b/>
      <sz val="14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xfId="0" applyFont="1" applyAlignment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1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0" fontId="1" fillId="2" borderId="12" xfId="0" applyFont="1" applyFill="1" applyBorder="1"/>
    <xf numFmtId="14" fontId="1" fillId="0" borderId="9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14" fontId="1" fillId="0" borderId="13" xfId="0" applyNumberFormat="1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14" fontId="1" fillId="0" borderId="11" xfId="0" applyNumberFormat="1" applyFont="1" applyBorder="1"/>
    <xf numFmtId="0" fontId="1" fillId="0" borderId="15" xfId="0" applyFont="1" applyBorder="1"/>
    <xf numFmtId="0" fontId="1" fillId="0" borderId="10" xfId="0" applyFont="1" applyBorder="1"/>
    <xf numFmtId="0" fontId="1" fillId="2" borderId="16" xfId="0" applyFont="1" applyFill="1" applyBorder="1"/>
    <xf numFmtId="0" fontId="1" fillId="2" borderId="11" xfId="0" applyFont="1" applyFill="1" applyBorder="1" applyAlignment="1">
      <alignment horizontal="center"/>
    </xf>
    <xf numFmtId="14" fontId="1" fillId="2" borderId="17" xfId="0" applyNumberFormat="1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19" xfId="0" applyFont="1" applyFill="1" applyBorder="1" applyAlignment="1">
      <alignment horizontal="center"/>
    </xf>
    <xf numFmtId="14" fontId="1" fillId="2" borderId="20" xfId="0" applyNumberFormat="1" applyFont="1" applyFill="1" applyBorder="1"/>
    <xf numFmtId="0" fontId="1" fillId="2" borderId="3" xfId="0" applyFont="1" applyFill="1" applyBorder="1"/>
    <xf numFmtId="16" fontId="6" fillId="2" borderId="22" xfId="0" applyNumberFormat="1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1" fillId="2" borderId="24" xfId="0" applyFont="1" applyFill="1" applyBorder="1"/>
    <xf numFmtId="165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166" fontId="1" fillId="2" borderId="25" xfId="0" applyNumberFormat="1" applyFont="1" applyFill="1" applyBorder="1"/>
    <xf numFmtId="16" fontId="1" fillId="2" borderId="12" xfId="0" applyNumberFormat="1" applyFont="1" applyFill="1" applyBorder="1" applyAlignment="1">
      <alignment horizontal="center"/>
    </xf>
    <xf numFmtId="165" fontId="1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/>
    <xf numFmtId="16" fontId="1" fillId="2" borderId="26" xfId="0" applyNumberFormat="1" applyFont="1" applyFill="1" applyBorder="1" applyAlignment="1">
      <alignment horizontal="center"/>
    </xf>
    <xf numFmtId="165" fontId="1" fillId="2" borderId="27" xfId="0" applyNumberFormat="1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left"/>
    </xf>
    <xf numFmtId="0" fontId="7" fillId="2" borderId="28" xfId="0" applyFont="1" applyFill="1" applyBorder="1"/>
    <xf numFmtId="0" fontId="1" fillId="2" borderId="29" xfId="0" applyFont="1" applyFill="1" applyBorder="1"/>
    <xf numFmtId="167" fontId="2" fillId="2" borderId="30" xfId="0" applyNumberFormat="1" applyFont="1" applyFill="1" applyBorder="1"/>
    <xf numFmtId="0" fontId="1" fillId="2" borderId="20" xfId="0" applyFont="1" applyFill="1" applyBorder="1"/>
    <xf numFmtId="0" fontId="1" fillId="2" borderId="31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/>
    <xf numFmtId="0" fontId="1" fillId="2" borderId="32" xfId="0" applyFont="1" applyFill="1" applyBorder="1"/>
    <xf numFmtId="14" fontId="2" fillId="2" borderId="11" xfId="0" applyNumberFormat="1" applyFont="1" applyFill="1" applyBorder="1"/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1" fillId="2" borderId="34" xfId="0" applyFont="1" applyFill="1" applyBorder="1"/>
    <xf numFmtId="14" fontId="1" fillId="2" borderId="34" xfId="0" applyNumberFormat="1" applyFont="1" applyFill="1" applyBorder="1"/>
    <xf numFmtId="0" fontId="1" fillId="2" borderId="34" xfId="0" applyFont="1" applyFill="1" applyBorder="1" applyAlignment="1">
      <alignment horizontal="center"/>
    </xf>
    <xf numFmtId="14" fontId="2" fillId="2" borderId="13" xfId="0" applyNumberFormat="1" applyFont="1" applyFill="1" applyBorder="1"/>
    <xf numFmtId="0" fontId="2" fillId="2" borderId="14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14" fontId="1" fillId="2" borderId="9" xfId="0" applyNumberFormat="1" applyFont="1" applyFill="1" applyBorder="1"/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/>
    <xf numFmtId="0" fontId="1" fillId="0" borderId="12" xfId="0" applyFont="1" applyBorder="1" applyAlignment="1">
      <alignment horizontal="center"/>
    </xf>
    <xf numFmtId="14" fontId="1" fillId="0" borderId="25" xfId="0" applyNumberFormat="1" applyFont="1" applyBorder="1"/>
    <xf numFmtId="0" fontId="1" fillId="0" borderId="3" xfId="0" applyFont="1" applyBorder="1"/>
    <xf numFmtId="0" fontId="1" fillId="0" borderId="12" xfId="0" applyFont="1" applyBorder="1"/>
    <xf numFmtId="14" fontId="1" fillId="2" borderId="37" xfId="0" applyNumberFormat="1" applyFont="1" applyFill="1" applyBorder="1"/>
    <xf numFmtId="0" fontId="1" fillId="2" borderId="14" xfId="0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15" xfId="0" applyFont="1" applyFill="1" applyBorder="1"/>
    <xf numFmtId="14" fontId="1" fillId="2" borderId="35" xfId="0" applyNumberFormat="1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5" xfId="0" applyFont="1" applyFill="1" applyBorder="1"/>
    <xf numFmtId="16" fontId="1" fillId="2" borderId="15" xfId="0" applyNumberFormat="1" applyFont="1" applyFill="1" applyBorder="1" applyAlignment="1">
      <alignment horizontal="center"/>
    </xf>
    <xf numFmtId="14" fontId="1" fillId="2" borderId="35" xfId="0" applyNumberFormat="1" applyFont="1" applyFill="1" applyBorder="1"/>
    <xf numFmtId="0" fontId="1" fillId="2" borderId="36" xfId="0" applyFont="1" applyFill="1" applyBorder="1"/>
    <xf numFmtId="14" fontId="1" fillId="2" borderId="34" xfId="0" applyNumberFormat="1" applyFont="1" applyFill="1" applyBorder="1" applyAlignment="1">
      <alignment horizontal="center"/>
    </xf>
    <xf numFmtId="168" fontId="1" fillId="2" borderId="34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0" borderId="10" xfId="0" applyFont="1" applyBorder="1" applyAlignment="1"/>
    <xf numFmtId="0" fontId="4" fillId="0" borderId="12" xfId="0" applyFont="1" applyBorder="1" applyAlignment="1"/>
    <xf numFmtId="0" fontId="6" fillId="2" borderId="35" xfId="0" applyFont="1" applyFill="1" applyBorder="1" applyAlignment="1">
      <alignment horizontal="center"/>
    </xf>
    <xf numFmtId="0" fontId="4" fillId="0" borderId="34" xfId="0" applyFont="1" applyBorder="1" applyAlignment="1"/>
    <xf numFmtId="0" fontId="4" fillId="0" borderId="36" xfId="0" applyFont="1" applyBorder="1" applyAlignment="1"/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0" borderId="14" xfId="0" applyFont="1" applyBorder="1" applyAlignment="1"/>
    <xf numFmtId="0" fontId="4" fillId="0" borderId="16" xfId="0" applyFont="1" applyBorder="1" applyAlignment="1"/>
    <xf numFmtId="0" fontId="1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/>
    <xf numFmtId="0" fontId="2" fillId="0" borderId="20" xfId="0" applyFont="1" applyBorder="1" applyAlignment="1">
      <alignment horizontal="left"/>
    </xf>
    <xf numFmtId="0" fontId="4" fillId="0" borderId="3" xfId="0" applyFont="1" applyBorder="1" applyAlignment="1"/>
    <xf numFmtId="0" fontId="2" fillId="0" borderId="3" xfId="0" applyFont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4" fillId="0" borderId="5" xfId="0" applyFont="1" applyBorder="1" applyAlignment="1"/>
    <xf numFmtId="0" fontId="4" fillId="0" borderId="4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14" fontId="1" fillId="2" borderId="9" xfId="0" applyNumberFormat="1" applyFont="1" applyFill="1" applyBorder="1" applyAlignment="1">
      <alignment horizontal="center"/>
    </xf>
    <xf numFmtId="14" fontId="9" fillId="2" borderId="13" xfId="0" applyNumberFormat="1" applyFont="1" applyFill="1" applyBorder="1" applyAlignment="1">
      <alignment horizontal="center" vertical="center"/>
    </xf>
    <xf numFmtId="0" fontId="4" fillId="0" borderId="20" xfId="0" applyFont="1" applyBorder="1" applyAlignment="1"/>
    <xf numFmtId="0" fontId="4" fillId="0" borderId="15" xfId="0" applyFont="1" applyBorder="1" applyAlignment="1"/>
    <xf numFmtId="14" fontId="1" fillId="2" borderId="13" xfId="0" applyNumberFormat="1" applyFont="1" applyFill="1" applyBorder="1" applyAlignment="1">
      <alignment horizontal="center"/>
    </xf>
    <xf numFmtId="0" fontId="4" fillId="0" borderId="35" xfId="0" applyFont="1" applyBorder="1" applyAlignment="1"/>
    <xf numFmtId="0" fontId="0" fillId="0" borderId="0" xfId="0" applyFont="1" applyAlignment="1"/>
    <xf numFmtId="0" fontId="8" fillId="3" borderId="37" xfId="0" applyFont="1" applyFill="1" applyBorder="1" applyAlignment="1">
      <alignment horizontal="center" vertical="center"/>
    </xf>
    <xf numFmtId="0" fontId="4" fillId="0" borderId="25" xfId="0" applyFont="1" applyBorder="1" applyAlignment="1"/>
    <xf numFmtId="168" fontId="1" fillId="2" borderId="37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4" fillId="0" borderId="21" xfId="0" applyFont="1" applyBorder="1" applyAlignment="1"/>
    <xf numFmtId="14" fontId="1" fillId="2" borderId="34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4" fillId="0" borderId="33" xfId="0" applyFont="1" applyBorder="1" applyAlignment="1"/>
    <xf numFmtId="14" fontId="8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6" Type="http://schemas.openxmlformats.org/officeDocument/2006/relationships/image" Target="../media/image6.png" /><Relationship Id="rId5" Type="http://schemas.openxmlformats.org/officeDocument/2006/relationships/image" Target="../media/image5.png" /><Relationship Id="rId4" Type="http://schemas.openxmlformats.org/officeDocument/2006/relationships/image" Target="../media/image4.png" /><Relationship Id="rId9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57150</xdr:rowOff>
    </xdr:from>
    <xdr:ext cx="7439025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19050</xdr:colOff>
      <xdr:row>101</xdr:row>
      <xdr:rowOff>38100</xdr:rowOff>
    </xdr:from>
    <xdr:to>
      <xdr:col>6</xdr:col>
      <xdr:colOff>513698</xdr:colOff>
      <xdr:row>120</xdr:row>
      <xdr:rowOff>106810</xdr:rowOff>
    </xdr:to>
    <xdr:pic>
      <xdr:nvPicPr>
        <xdr:cNvPr id="11" name="Imagem 5">
          <a:extLst>
            <a:ext uri="{FF2B5EF4-FFF2-40B4-BE49-F238E27FC236}">
              <a16:creationId xmlns:a16="http://schemas.microsoft.com/office/drawing/2014/main" id="{CED30B46-A0E7-A36C-51BC-1E8207A6CF29}"/>
            </a:ext>
            <a:ext uri="{147F2762-F138-4A5C-976F-8EAC2B608ADB}">
              <a16:predDERef xmlns:a16="http://schemas.microsoft.com/office/drawing/2014/main" pred="{97D1CABE-3812-F3ED-9927-F027A10A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7875" y="16249650"/>
          <a:ext cx="1790700" cy="31623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101</xdr:row>
      <xdr:rowOff>57150</xdr:rowOff>
    </xdr:from>
    <xdr:to>
      <xdr:col>3</xdr:col>
      <xdr:colOff>438069</xdr:colOff>
      <xdr:row>120</xdr:row>
      <xdr:rowOff>49660</xdr:rowOff>
    </xdr:to>
    <xdr:pic>
      <xdr:nvPicPr>
        <xdr:cNvPr id="12" name="Imagem 6">
          <a:extLst>
            <a:ext uri="{FF2B5EF4-FFF2-40B4-BE49-F238E27FC236}">
              <a16:creationId xmlns:a16="http://schemas.microsoft.com/office/drawing/2014/main" id="{97D1CABE-3812-F3ED-9927-F027A10A21DF}"/>
            </a:ext>
            <a:ext uri="{147F2762-F138-4A5C-976F-8EAC2B608ADB}">
              <a16:predDERef xmlns:a16="http://schemas.microsoft.com/office/drawing/2014/main" pred="{CED30B46-A0E7-A36C-51BC-1E8207A6C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6268700"/>
          <a:ext cx="1752600" cy="308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101</xdr:row>
      <xdr:rowOff>76200</xdr:rowOff>
    </xdr:from>
    <xdr:to>
      <xdr:col>8</xdr:col>
      <xdr:colOff>493346</xdr:colOff>
      <xdr:row>120</xdr:row>
      <xdr:rowOff>21085</xdr:rowOff>
    </xdr:to>
    <xdr:pic>
      <xdr:nvPicPr>
        <xdr:cNvPr id="13" name="Imagem 4">
          <a:extLst>
            <a:ext uri="{FF2B5EF4-FFF2-40B4-BE49-F238E27FC236}">
              <a16:creationId xmlns:a16="http://schemas.microsoft.com/office/drawing/2014/main" id="{C0A5A9A0-3CA3-FAAE-EC0E-C31D92A9BF89}"/>
            </a:ext>
            <a:ext uri="{147F2762-F138-4A5C-976F-8EAC2B608ADB}">
              <a16:predDERef xmlns:a16="http://schemas.microsoft.com/office/drawing/2014/main" pred="{97D1CABE-3812-F3ED-9927-F027A10A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3825" y="16287750"/>
          <a:ext cx="1714500" cy="3038475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101</xdr:row>
      <xdr:rowOff>66675</xdr:rowOff>
    </xdr:from>
    <xdr:to>
      <xdr:col>10</xdr:col>
      <xdr:colOff>978471</xdr:colOff>
      <xdr:row>120</xdr:row>
      <xdr:rowOff>68710</xdr:rowOff>
    </xdr:to>
    <xdr:pic>
      <xdr:nvPicPr>
        <xdr:cNvPr id="14" name="Imagem 3">
          <a:extLst>
            <a:ext uri="{FF2B5EF4-FFF2-40B4-BE49-F238E27FC236}">
              <a16:creationId xmlns:a16="http://schemas.microsoft.com/office/drawing/2014/main" id="{6E996721-5A50-D9CB-705F-6E2EEA84B2D4}"/>
            </a:ext>
            <a:ext uri="{147F2762-F138-4A5C-976F-8EAC2B608ADB}">
              <a16:predDERef xmlns:a16="http://schemas.microsoft.com/office/drawing/2014/main" pred="{C0A5A9A0-3CA3-FAAE-EC0E-C31D92A9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95950" y="16278225"/>
          <a:ext cx="1743075" cy="30956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79</xdr:row>
      <xdr:rowOff>28575</xdr:rowOff>
    </xdr:from>
    <xdr:to>
      <xdr:col>3</xdr:col>
      <xdr:colOff>390444</xdr:colOff>
      <xdr:row>98</xdr:row>
      <xdr:rowOff>49660</xdr:rowOff>
    </xdr:to>
    <xdr:pic>
      <xdr:nvPicPr>
        <xdr:cNvPr id="15" name="Imagem 2">
          <a:extLst>
            <a:ext uri="{FF2B5EF4-FFF2-40B4-BE49-F238E27FC236}">
              <a16:creationId xmlns:a16="http://schemas.microsoft.com/office/drawing/2014/main" id="{D76724A5-23CF-A6AF-4F20-B14E028D6137}"/>
            </a:ext>
            <a:ext uri="{147F2762-F138-4A5C-976F-8EAC2B608ADB}">
              <a16:predDERef xmlns:a16="http://schemas.microsoft.com/office/drawing/2014/main" pred="{6E996721-5A50-D9CB-705F-6E2EEA84B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12677775"/>
          <a:ext cx="1762125" cy="3114675"/>
        </a:xfrm>
        <a:prstGeom prst="rect">
          <a:avLst/>
        </a:prstGeom>
      </xdr:spPr>
    </xdr:pic>
    <xdr:clientData/>
  </xdr:twoCellAnchor>
  <xdr:twoCellAnchor editAs="oneCell">
    <xdr:from>
      <xdr:col>3</xdr:col>
      <xdr:colOff>523875</xdr:colOff>
      <xdr:row>79</xdr:row>
      <xdr:rowOff>28575</xdr:rowOff>
    </xdr:from>
    <xdr:to>
      <xdr:col>6</xdr:col>
      <xdr:colOff>406807</xdr:colOff>
      <xdr:row>98</xdr:row>
      <xdr:rowOff>78235</xdr:rowOff>
    </xdr:to>
    <xdr:pic>
      <xdr:nvPicPr>
        <xdr:cNvPr id="16" name="Imagem 9">
          <a:extLst>
            <a:ext uri="{FF2B5EF4-FFF2-40B4-BE49-F238E27FC236}">
              <a16:creationId xmlns:a16="http://schemas.microsoft.com/office/drawing/2014/main" id="{87CFD8CF-51DA-7A25-A31D-A553601E2E30}"/>
            </a:ext>
            <a:ext uri="{147F2762-F138-4A5C-976F-8EAC2B608ADB}">
              <a16:predDERef xmlns:a16="http://schemas.microsoft.com/office/drawing/2014/main" pred="{D76724A5-23CF-A6AF-4F20-B14E028D6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0725" y="12677775"/>
          <a:ext cx="1771650" cy="3143250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79</xdr:row>
      <xdr:rowOff>57150</xdr:rowOff>
    </xdr:from>
    <xdr:to>
      <xdr:col>8</xdr:col>
      <xdr:colOff>348191</xdr:colOff>
      <xdr:row>98</xdr:row>
      <xdr:rowOff>49660</xdr:rowOff>
    </xdr:to>
    <xdr:pic>
      <xdr:nvPicPr>
        <xdr:cNvPr id="17" name="Imagem 8">
          <a:extLst>
            <a:ext uri="{FF2B5EF4-FFF2-40B4-BE49-F238E27FC236}">
              <a16:creationId xmlns:a16="http://schemas.microsoft.com/office/drawing/2014/main" id="{5BF37CD6-79E6-3C7D-3BA4-5099314A2943}"/>
            </a:ext>
            <a:ext uri="{147F2762-F138-4A5C-976F-8EAC2B608ADB}">
              <a16:predDERef xmlns:a16="http://schemas.microsoft.com/office/drawing/2014/main" pred="{87CFD8CF-51DA-7A25-A31D-A553601E2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00" y="12706350"/>
          <a:ext cx="1733550" cy="3086100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79</xdr:row>
      <xdr:rowOff>38100</xdr:rowOff>
    </xdr:from>
    <xdr:to>
      <xdr:col>10</xdr:col>
      <xdr:colOff>959421</xdr:colOff>
      <xdr:row>98</xdr:row>
      <xdr:rowOff>116335</xdr:rowOff>
    </xdr:to>
    <xdr:pic>
      <xdr:nvPicPr>
        <xdr:cNvPr id="18" name="Imagem 7">
          <a:extLst>
            <a:ext uri="{FF2B5EF4-FFF2-40B4-BE49-F238E27FC236}">
              <a16:creationId xmlns:a16="http://schemas.microsoft.com/office/drawing/2014/main" id="{EEC701E0-3986-B076-CF53-9651D042A2FF}"/>
            </a:ext>
            <a:ext uri="{147F2762-F138-4A5C-976F-8EAC2B608ADB}">
              <a16:predDERef xmlns:a16="http://schemas.microsoft.com/office/drawing/2014/main" pred="{5BF37CD6-79E6-3C7D-3BA4-5099314A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29275" y="12687300"/>
          <a:ext cx="1790700" cy="317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B1" workbookViewId="0">
      <selection activeCell="M98" sqref="M98"/>
    </sheetView>
  </sheetViews>
  <sheetFormatPr defaultColWidth="12.5390625" defaultRowHeight="15" customHeight="1" x14ac:dyDescent="0.15"/>
  <cols>
    <col min="1" max="1" width="2.15625" customWidth="1"/>
    <col min="2" max="2" width="10.65234375" customWidth="1"/>
    <col min="3" max="3" width="9.16796875" customWidth="1"/>
    <col min="4" max="4" width="8.359375" customWidth="1"/>
    <col min="5" max="6" width="9.16796875" customWidth="1"/>
    <col min="7" max="7" width="10.24609375" customWidth="1"/>
    <col min="8" max="8" width="17.2578125" customWidth="1"/>
    <col min="9" max="9" width="10.24609375" customWidth="1"/>
    <col min="10" max="10" width="9.16796875" customWidth="1"/>
    <col min="11" max="11" width="17.80078125" customWidth="1"/>
    <col min="12" max="12" width="9.16796875" customWidth="1"/>
    <col min="13" max="26" width="14.42578125" customWidth="1"/>
  </cols>
  <sheetData>
    <row r="1" spans="1:12" ht="12.75" customHeight="1" x14ac:dyDescent="0.15">
      <c r="A1" s="52"/>
      <c r="B1" s="53"/>
      <c r="C1" s="52"/>
      <c r="D1" s="52"/>
      <c r="E1" s="52"/>
      <c r="F1" s="52"/>
      <c r="G1" s="52"/>
      <c r="H1" s="54"/>
      <c r="I1" s="52"/>
      <c r="J1" s="52"/>
      <c r="K1" s="52"/>
      <c r="L1" s="52"/>
    </row>
    <row r="2" spans="1:12" ht="12.75" customHeight="1" x14ac:dyDescent="0.15">
      <c r="A2" s="52"/>
      <c r="B2" s="53"/>
      <c r="C2" s="52"/>
      <c r="D2" s="52"/>
      <c r="E2" s="52"/>
      <c r="F2" s="52"/>
      <c r="G2" s="52"/>
      <c r="H2" s="54"/>
      <c r="I2" s="52"/>
      <c r="J2" s="52"/>
      <c r="K2" s="52"/>
      <c r="L2" s="52"/>
    </row>
    <row r="3" spans="1:12" ht="12.75" customHeight="1" x14ac:dyDescent="0.15">
      <c r="A3" s="52"/>
      <c r="B3" s="53"/>
      <c r="C3" s="52"/>
      <c r="D3" s="52"/>
      <c r="E3" s="52"/>
      <c r="F3" s="52"/>
      <c r="G3" s="52"/>
      <c r="H3" s="54"/>
      <c r="I3" s="52"/>
      <c r="J3" s="52"/>
      <c r="K3" s="52"/>
      <c r="L3" s="52"/>
    </row>
    <row r="4" spans="1:12" ht="12.75" customHeight="1" x14ac:dyDescent="0.15">
      <c r="A4" s="52"/>
      <c r="B4" s="53"/>
      <c r="C4" s="52"/>
      <c r="D4" s="52"/>
      <c r="E4" s="52"/>
      <c r="F4" s="52"/>
      <c r="G4" s="52"/>
      <c r="H4" s="54"/>
      <c r="I4" s="52"/>
      <c r="J4" s="52"/>
      <c r="K4" s="52"/>
      <c r="L4" s="52"/>
    </row>
    <row r="5" spans="1:12" ht="12.75" customHeight="1" x14ac:dyDescent="0.15">
      <c r="A5" s="52"/>
      <c r="B5" s="53"/>
      <c r="C5" s="52"/>
      <c r="D5" s="52"/>
      <c r="E5" s="52"/>
      <c r="F5" s="52"/>
      <c r="G5" s="52"/>
      <c r="H5" s="54"/>
      <c r="I5" s="52"/>
      <c r="J5" s="52"/>
      <c r="K5" s="52"/>
      <c r="L5" s="52"/>
    </row>
    <row r="6" spans="1:12" ht="12.75" customHeight="1" x14ac:dyDescent="0.15">
      <c r="A6" s="52"/>
      <c r="B6" s="53"/>
      <c r="C6" s="52"/>
      <c r="D6" s="52"/>
      <c r="E6" s="52"/>
      <c r="F6" s="52"/>
      <c r="G6" s="52"/>
      <c r="H6" s="54"/>
      <c r="I6" s="52"/>
      <c r="J6" s="52"/>
      <c r="K6" s="52"/>
      <c r="L6" s="52"/>
    </row>
    <row r="7" spans="1:12" ht="6" customHeight="1" x14ac:dyDescent="0.15">
      <c r="A7" s="52"/>
      <c r="B7" s="53"/>
      <c r="C7" s="52"/>
      <c r="D7" s="52"/>
      <c r="E7" s="52"/>
      <c r="F7" s="52"/>
      <c r="G7" s="52"/>
      <c r="H7" s="54"/>
      <c r="I7" s="52"/>
      <c r="J7" s="52"/>
      <c r="K7" s="52"/>
      <c r="L7" s="52"/>
    </row>
    <row r="8" spans="1:12" ht="15" customHeight="1" x14ac:dyDescent="0.15">
      <c r="A8" s="52"/>
      <c r="B8" s="55" t="s">
        <v>0</v>
      </c>
      <c r="C8" s="56"/>
      <c r="D8" s="56"/>
      <c r="E8" s="56"/>
      <c r="F8" s="56"/>
      <c r="G8" s="57" t="s">
        <v>1</v>
      </c>
      <c r="H8" s="57"/>
      <c r="I8" s="58" t="s">
        <v>2</v>
      </c>
      <c r="J8" s="95" t="s">
        <v>3</v>
      </c>
      <c r="K8" s="96"/>
      <c r="L8" s="52"/>
    </row>
    <row r="9" spans="1:12" ht="15" customHeight="1" x14ac:dyDescent="0.15">
      <c r="A9" s="52"/>
      <c r="B9" s="97" t="s">
        <v>4</v>
      </c>
      <c r="C9" s="98"/>
      <c r="D9" s="98"/>
      <c r="E9" s="98"/>
      <c r="F9" s="98"/>
      <c r="G9" s="99">
        <v>15287</v>
      </c>
      <c r="H9" s="98"/>
      <c r="I9" s="1" t="s">
        <v>5</v>
      </c>
      <c r="J9" s="100" t="s">
        <v>6</v>
      </c>
      <c r="K9" s="101"/>
      <c r="L9" s="52"/>
    </row>
    <row r="10" spans="1:12" ht="15" customHeight="1" x14ac:dyDescent="0.15">
      <c r="A10" s="52"/>
      <c r="B10" s="55" t="s">
        <v>7</v>
      </c>
      <c r="C10" s="56"/>
      <c r="D10" s="56"/>
      <c r="E10" s="56"/>
      <c r="F10" s="57" t="s">
        <v>8</v>
      </c>
      <c r="G10" s="56"/>
      <c r="H10" s="57" t="s">
        <v>9</v>
      </c>
      <c r="I10" s="57" t="s">
        <v>10</v>
      </c>
      <c r="J10" s="102"/>
      <c r="K10" s="101"/>
      <c r="L10" s="52"/>
    </row>
    <row r="11" spans="1:12" ht="15" customHeight="1" x14ac:dyDescent="0.15">
      <c r="A11" s="52"/>
      <c r="B11" s="97" t="s">
        <v>11</v>
      </c>
      <c r="C11" s="98"/>
      <c r="D11" s="98"/>
      <c r="E11" s="98"/>
      <c r="F11" s="99"/>
      <c r="G11" s="98"/>
      <c r="H11" s="1"/>
      <c r="I11" s="2"/>
      <c r="J11" s="103"/>
      <c r="K11" s="104"/>
      <c r="L11" s="52"/>
    </row>
    <row r="12" spans="1:12" ht="1.5" customHeight="1" x14ac:dyDescent="0.6">
      <c r="A12" s="52"/>
      <c r="B12" s="59"/>
      <c r="C12" s="60"/>
      <c r="D12" s="60"/>
      <c r="E12" s="60"/>
      <c r="F12" s="60"/>
      <c r="G12" s="60"/>
      <c r="H12" s="61"/>
      <c r="I12" s="60"/>
      <c r="J12" s="3"/>
      <c r="K12" s="62"/>
      <c r="L12" s="52"/>
    </row>
    <row r="13" spans="1:12" ht="25.5" customHeight="1" x14ac:dyDescent="0.15">
      <c r="A13" s="52"/>
      <c r="B13" s="4" t="s">
        <v>12</v>
      </c>
      <c r="C13" s="93" t="s">
        <v>13</v>
      </c>
      <c r="D13" s="90"/>
      <c r="E13" s="90"/>
      <c r="F13" s="90"/>
      <c r="G13" s="91"/>
      <c r="H13" s="5" t="s">
        <v>14</v>
      </c>
      <c r="I13" s="93" t="s">
        <v>15</v>
      </c>
      <c r="J13" s="90"/>
      <c r="K13" s="91"/>
      <c r="L13" s="52"/>
    </row>
    <row r="14" spans="1:12" ht="12.75" customHeight="1" x14ac:dyDescent="0.15">
      <c r="A14" s="63"/>
      <c r="B14" s="6" t="s">
        <v>16</v>
      </c>
      <c r="C14" s="88" t="s">
        <v>17</v>
      </c>
      <c r="D14" s="83"/>
      <c r="E14" s="83"/>
      <c r="F14" s="83"/>
      <c r="G14" s="84"/>
      <c r="H14" s="7">
        <v>55</v>
      </c>
      <c r="I14" s="94"/>
      <c r="J14" s="83"/>
      <c r="K14" s="84"/>
      <c r="L14" s="63"/>
    </row>
    <row r="15" spans="1:12" ht="12.75" customHeight="1" x14ac:dyDescent="0.15">
      <c r="A15" s="63"/>
      <c r="B15" s="12">
        <v>46058</v>
      </c>
      <c r="C15" s="88" t="s">
        <v>18</v>
      </c>
      <c r="D15" s="83"/>
      <c r="E15" s="83"/>
      <c r="F15" s="83"/>
      <c r="G15" s="84"/>
      <c r="H15" s="7">
        <v>43</v>
      </c>
      <c r="I15" s="94"/>
      <c r="J15" s="83"/>
      <c r="K15" s="84"/>
      <c r="L15" s="63"/>
    </row>
    <row r="16" spans="1:12" ht="12.75" customHeight="1" x14ac:dyDescent="0.15">
      <c r="A16" s="63"/>
      <c r="B16" s="12">
        <v>46117</v>
      </c>
      <c r="C16" s="88" t="s">
        <v>19</v>
      </c>
      <c r="D16" s="83"/>
      <c r="E16" s="83"/>
      <c r="F16" s="83"/>
      <c r="G16" s="84"/>
      <c r="H16" s="7">
        <v>62</v>
      </c>
      <c r="I16" s="8"/>
      <c r="J16" s="64"/>
      <c r="K16" s="9"/>
      <c r="L16" s="63"/>
    </row>
    <row r="17" spans="1:12" ht="12.75" customHeight="1" x14ac:dyDescent="0.15">
      <c r="A17" s="52"/>
      <c r="B17" s="10">
        <v>46147</v>
      </c>
      <c r="C17" s="88" t="s">
        <v>20</v>
      </c>
      <c r="D17" s="83"/>
      <c r="E17" s="83"/>
      <c r="F17" s="83"/>
      <c r="G17" s="84"/>
      <c r="H17" s="7">
        <v>36</v>
      </c>
      <c r="I17" s="92"/>
      <c r="J17" s="83"/>
      <c r="K17" s="84"/>
      <c r="L17" s="52"/>
    </row>
    <row r="18" spans="1:12" ht="12.75" customHeight="1" x14ac:dyDescent="0.15">
      <c r="A18" s="52"/>
      <c r="B18" s="12">
        <v>46178</v>
      </c>
      <c r="C18" s="88" t="s">
        <v>17</v>
      </c>
      <c r="D18" s="83"/>
      <c r="E18" s="83"/>
      <c r="F18" s="83"/>
      <c r="G18" s="84"/>
      <c r="H18" s="7">
        <v>55</v>
      </c>
      <c r="I18" s="92"/>
      <c r="J18" s="83"/>
      <c r="K18" s="84"/>
      <c r="L18" s="52"/>
    </row>
    <row r="19" spans="1:12" ht="12.75" customHeight="1" x14ac:dyDescent="0.15">
      <c r="A19" s="52"/>
      <c r="B19" s="12">
        <v>46208</v>
      </c>
      <c r="C19" s="88" t="s">
        <v>18</v>
      </c>
      <c r="D19" s="83"/>
      <c r="E19" s="83"/>
      <c r="F19" s="83"/>
      <c r="G19" s="84"/>
      <c r="H19" s="13">
        <v>43</v>
      </c>
      <c r="I19" s="65"/>
      <c r="J19" s="60"/>
      <c r="K19" s="11"/>
      <c r="L19" s="52"/>
    </row>
    <row r="20" spans="1:12" ht="12.75" customHeight="1" x14ac:dyDescent="0.15">
      <c r="A20" s="52"/>
      <c r="B20" s="12">
        <v>46239</v>
      </c>
      <c r="C20" s="88" t="s">
        <v>17</v>
      </c>
      <c r="D20" s="83"/>
      <c r="E20" s="83"/>
      <c r="F20" s="83"/>
      <c r="G20" s="84"/>
      <c r="H20" s="13">
        <v>55</v>
      </c>
      <c r="I20" s="60"/>
      <c r="J20" s="60"/>
      <c r="K20" s="11"/>
      <c r="L20" s="52"/>
    </row>
    <row r="21" spans="1:12" ht="12.75" customHeight="1" x14ac:dyDescent="0.15">
      <c r="A21" s="52"/>
      <c r="B21" s="12">
        <v>46270</v>
      </c>
      <c r="C21" s="88" t="s">
        <v>18</v>
      </c>
      <c r="D21" s="83"/>
      <c r="E21" s="83"/>
      <c r="F21" s="83"/>
      <c r="G21" s="84"/>
      <c r="H21" s="13">
        <v>43</v>
      </c>
      <c r="I21" s="60"/>
      <c r="J21" s="60"/>
      <c r="K21" s="11"/>
      <c r="L21" s="52"/>
    </row>
    <row r="22" spans="1:12" ht="12.75" customHeight="1" x14ac:dyDescent="0.15">
      <c r="A22" s="52"/>
      <c r="B22" s="12">
        <v>46331</v>
      </c>
      <c r="C22" s="88" t="s">
        <v>17</v>
      </c>
      <c r="D22" s="83"/>
      <c r="E22" s="83"/>
      <c r="F22" s="83"/>
      <c r="G22" s="84"/>
      <c r="H22" s="13">
        <v>55</v>
      </c>
      <c r="I22" s="60"/>
      <c r="J22" s="60"/>
      <c r="K22" s="11"/>
      <c r="L22" s="52"/>
    </row>
    <row r="23" spans="1:12" ht="12" customHeight="1" x14ac:dyDescent="0.15">
      <c r="A23" s="52"/>
      <c r="B23" s="12">
        <v>46361</v>
      </c>
      <c r="C23" s="88" t="s">
        <v>18</v>
      </c>
      <c r="D23" s="83"/>
      <c r="E23" s="83"/>
      <c r="F23" s="83"/>
      <c r="G23" s="84"/>
      <c r="H23" s="13">
        <v>43</v>
      </c>
      <c r="I23" s="60"/>
      <c r="J23" s="60"/>
      <c r="K23" s="11"/>
      <c r="L23" s="52"/>
    </row>
    <row r="24" spans="1:12" ht="12" customHeight="1" x14ac:dyDescent="0.15">
      <c r="A24" s="52"/>
      <c r="B24" s="6" t="s">
        <v>21</v>
      </c>
      <c r="C24" s="88" t="s">
        <v>17</v>
      </c>
      <c r="D24" s="83"/>
      <c r="E24" s="83"/>
      <c r="F24" s="83"/>
      <c r="G24" s="84"/>
      <c r="H24" s="66">
        <v>55</v>
      </c>
      <c r="I24" s="60"/>
      <c r="J24" s="60"/>
      <c r="K24" s="11"/>
      <c r="L24" s="52"/>
    </row>
    <row r="25" spans="1:12" ht="12.75" customHeight="1" x14ac:dyDescent="0.15">
      <c r="A25" s="52"/>
      <c r="B25" s="6" t="s">
        <v>22</v>
      </c>
      <c r="C25" s="88" t="s">
        <v>20</v>
      </c>
      <c r="D25" s="83"/>
      <c r="E25" s="83"/>
      <c r="F25" s="83"/>
      <c r="G25" s="84"/>
      <c r="H25" s="66">
        <v>35</v>
      </c>
      <c r="I25" s="60"/>
      <c r="J25" s="60"/>
      <c r="K25" s="11"/>
      <c r="L25" s="52"/>
    </row>
    <row r="26" spans="1:12" ht="12.75" customHeight="1" x14ac:dyDescent="0.15">
      <c r="A26" s="52"/>
      <c r="B26" s="6" t="s">
        <v>23</v>
      </c>
      <c r="C26" s="88" t="s">
        <v>18</v>
      </c>
      <c r="D26" s="83"/>
      <c r="E26" s="83"/>
      <c r="F26" s="83"/>
      <c r="G26" s="84"/>
      <c r="H26" s="66">
        <v>43</v>
      </c>
      <c r="I26" s="52"/>
      <c r="J26" s="60"/>
      <c r="K26" s="11"/>
      <c r="L26" s="52"/>
    </row>
    <row r="27" spans="1:12" ht="12.75" customHeight="1" x14ac:dyDescent="0.15">
      <c r="A27" s="52"/>
      <c r="B27" s="6" t="s">
        <v>24</v>
      </c>
      <c r="C27" s="88" t="s">
        <v>17</v>
      </c>
      <c r="D27" s="83"/>
      <c r="E27" s="83"/>
      <c r="F27" s="83"/>
      <c r="G27" s="84"/>
      <c r="H27" s="66">
        <v>55</v>
      </c>
      <c r="I27" s="60"/>
      <c r="J27" s="60"/>
      <c r="K27" s="11"/>
      <c r="L27" s="52"/>
    </row>
    <row r="28" spans="1:12" ht="12" customHeight="1" x14ac:dyDescent="0.15">
      <c r="A28" s="52"/>
      <c r="B28" s="12">
        <v>45795</v>
      </c>
      <c r="C28" s="88" t="s">
        <v>18</v>
      </c>
      <c r="D28" s="83"/>
      <c r="E28" s="83"/>
      <c r="F28" s="83"/>
      <c r="G28" s="84"/>
      <c r="H28" s="66">
        <v>43</v>
      </c>
      <c r="I28" s="60"/>
      <c r="J28" s="60"/>
      <c r="K28" s="11"/>
      <c r="L28" s="52"/>
    </row>
    <row r="29" spans="1:12" ht="12.75" customHeight="1" x14ac:dyDescent="0.15">
      <c r="A29" s="52"/>
      <c r="B29" s="12">
        <v>45796</v>
      </c>
      <c r="C29" s="88" t="s">
        <v>17</v>
      </c>
      <c r="D29" s="83"/>
      <c r="E29" s="83"/>
      <c r="F29" s="83"/>
      <c r="G29" s="84"/>
      <c r="H29" s="66">
        <v>55</v>
      </c>
      <c r="I29" s="60"/>
      <c r="J29" s="60"/>
      <c r="K29" s="11"/>
      <c r="L29" s="52"/>
    </row>
    <row r="30" spans="1:12" ht="12.75" customHeight="1" x14ac:dyDescent="0.15">
      <c r="A30" s="52"/>
      <c r="B30" s="12">
        <v>45797</v>
      </c>
      <c r="C30" s="88" t="s">
        <v>25</v>
      </c>
      <c r="D30" s="83"/>
      <c r="E30" s="83"/>
      <c r="F30" s="83"/>
      <c r="G30" s="84"/>
      <c r="H30" s="66">
        <v>80</v>
      </c>
      <c r="I30" s="60"/>
      <c r="J30" s="60"/>
      <c r="K30" s="11"/>
      <c r="L30" s="52"/>
    </row>
    <row r="31" spans="1:12" ht="12.75" customHeight="1" x14ac:dyDescent="0.15">
      <c r="A31" s="52"/>
      <c r="B31" s="12">
        <v>45798</v>
      </c>
      <c r="C31" s="88" t="s">
        <v>17</v>
      </c>
      <c r="D31" s="83"/>
      <c r="E31" s="83"/>
      <c r="F31" s="83"/>
      <c r="G31" s="84"/>
      <c r="H31" s="13">
        <v>55</v>
      </c>
      <c r="I31" s="60"/>
      <c r="J31" s="60"/>
      <c r="K31" s="11"/>
      <c r="L31" s="52"/>
    </row>
    <row r="32" spans="1:12" ht="12.75" customHeight="1" x14ac:dyDescent="0.15">
      <c r="A32" s="52"/>
      <c r="B32" s="12">
        <v>45068</v>
      </c>
      <c r="C32" s="88" t="s">
        <v>18</v>
      </c>
      <c r="D32" s="83"/>
      <c r="E32" s="83"/>
      <c r="F32" s="83"/>
      <c r="G32" s="84"/>
      <c r="H32" s="66">
        <v>43</v>
      </c>
      <c r="I32" s="60"/>
      <c r="J32" s="60"/>
      <c r="K32" s="11"/>
      <c r="L32" s="52"/>
    </row>
    <row r="33" spans="1:12" ht="12.75" customHeight="1" x14ac:dyDescent="0.15">
      <c r="A33" s="52"/>
      <c r="B33" s="12">
        <v>45800</v>
      </c>
      <c r="C33" s="88" t="s">
        <v>18</v>
      </c>
      <c r="D33" s="83"/>
      <c r="E33" s="83"/>
      <c r="F33" s="83"/>
      <c r="G33" s="84"/>
      <c r="H33" s="66">
        <v>43</v>
      </c>
      <c r="I33" s="60"/>
      <c r="J33" s="60"/>
      <c r="K33" s="11"/>
      <c r="L33" s="52"/>
    </row>
    <row r="34" spans="1:12" ht="12.75" customHeight="1" x14ac:dyDescent="0.15">
      <c r="A34" s="52"/>
      <c r="B34" s="12">
        <v>46167</v>
      </c>
      <c r="C34" s="88" t="s">
        <v>20</v>
      </c>
      <c r="D34" s="83"/>
      <c r="E34" s="83"/>
      <c r="F34" s="83"/>
      <c r="G34" s="84"/>
      <c r="H34" s="66">
        <v>35</v>
      </c>
      <c r="I34" s="60"/>
      <c r="J34" s="60"/>
      <c r="K34" s="11"/>
      <c r="L34" s="52"/>
    </row>
    <row r="35" spans="1:12" ht="12.75" customHeight="1" x14ac:dyDescent="0.15">
      <c r="A35" s="52"/>
      <c r="B35" s="12">
        <v>46168</v>
      </c>
      <c r="C35" s="88" t="s">
        <v>18</v>
      </c>
      <c r="D35" s="83"/>
      <c r="E35" s="83"/>
      <c r="F35" s="83"/>
      <c r="G35" s="84"/>
      <c r="H35" s="66">
        <v>43</v>
      </c>
      <c r="I35" s="60"/>
      <c r="J35" s="60"/>
      <c r="K35" s="11"/>
      <c r="L35" s="52"/>
    </row>
    <row r="36" spans="1:12" ht="12.75" customHeight="1" x14ac:dyDescent="0.15">
      <c r="A36" s="52"/>
      <c r="B36" s="12">
        <v>46169</v>
      </c>
      <c r="C36" s="89" t="s">
        <v>26</v>
      </c>
      <c r="D36" s="90"/>
      <c r="E36" s="90"/>
      <c r="F36" s="90"/>
      <c r="G36" s="91"/>
      <c r="H36" s="66">
        <v>140</v>
      </c>
      <c r="I36" s="60"/>
      <c r="J36" s="60"/>
      <c r="K36" s="11"/>
      <c r="L36" s="52"/>
    </row>
    <row r="37" spans="1:12" ht="12.75" customHeight="1" x14ac:dyDescent="0.15">
      <c r="A37" s="52"/>
      <c r="B37" s="12">
        <v>46170</v>
      </c>
      <c r="C37" s="88" t="s">
        <v>17</v>
      </c>
      <c r="D37" s="83"/>
      <c r="E37" s="83"/>
      <c r="F37" s="83"/>
      <c r="G37" s="84"/>
      <c r="H37" s="66">
        <v>55</v>
      </c>
      <c r="I37" s="60"/>
      <c r="J37" s="60"/>
      <c r="K37" s="11"/>
      <c r="L37" s="52"/>
    </row>
    <row r="38" spans="1:12" ht="12.75" customHeight="1" x14ac:dyDescent="0.15">
      <c r="A38" s="52"/>
      <c r="B38" s="12">
        <v>46171</v>
      </c>
      <c r="C38" s="88" t="s">
        <v>18</v>
      </c>
      <c r="D38" s="83"/>
      <c r="E38" s="83"/>
      <c r="F38" s="83"/>
      <c r="G38" s="84"/>
      <c r="H38" s="66">
        <v>43</v>
      </c>
      <c r="I38" s="60"/>
      <c r="J38" s="60"/>
      <c r="K38" s="11"/>
      <c r="L38" s="52"/>
    </row>
    <row r="39" spans="1:12" ht="12.75" customHeight="1" x14ac:dyDescent="0.15">
      <c r="A39" s="52"/>
      <c r="B39" s="12">
        <v>46172</v>
      </c>
      <c r="C39" s="88" t="s">
        <v>17</v>
      </c>
      <c r="D39" s="83"/>
      <c r="E39" s="83"/>
      <c r="F39" s="83"/>
      <c r="G39" s="84"/>
      <c r="H39" s="66">
        <v>55</v>
      </c>
      <c r="I39" s="60"/>
      <c r="J39" s="60"/>
      <c r="K39" s="11"/>
      <c r="L39" s="52"/>
    </row>
    <row r="40" spans="1:12" ht="12.75" customHeight="1" x14ac:dyDescent="0.15">
      <c r="A40" s="52"/>
      <c r="B40" s="12"/>
      <c r="C40" s="88"/>
      <c r="D40" s="83"/>
      <c r="E40" s="83"/>
      <c r="F40" s="83"/>
      <c r="G40" s="84"/>
      <c r="H40" s="13"/>
      <c r="I40" s="60"/>
      <c r="J40" s="60"/>
      <c r="K40" s="11"/>
      <c r="L40" s="52"/>
    </row>
    <row r="41" spans="1:12" ht="12.75" customHeight="1" x14ac:dyDescent="0.15">
      <c r="A41" s="52"/>
      <c r="B41" s="12"/>
      <c r="C41" s="88"/>
      <c r="D41" s="83"/>
      <c r="E41" s="83"/>
      <c r="F41" s="83"/>
      <c r="G41" s="84"/>
      <c r="H41" s="13"/>
      <c r="I41" s="60"/>
      <c r="J41" s="60"/>
      <c r="K41" s="11"/>
      <c r="L41" s="52"/>
    </row>
    <row r="42" spans="1:12" ht="12.75" customHeight="1" x14ac:dyDescent="0.15">
      <c r="A42" s="52"/>
      <c r="B42" s="12"/>
      <c r="C42" s="88"/>
      <c r="D42" s="83"/>
      <c r="E42" s="83"/>
      <c r="F42" s="83"/>
      <c r="G42" s="84"/>
      <c r="H42" s="13"/>
      <c r="I42" s="60"/>
      <c r="J42" s="60"/>
      <c r="K42" s="11"/>
      <c r="L42" s="52"/>
    </row>
    <row r="43" spans="1:12" ht="12.75" customHeight="1" x14ac:dyDescent="0.15">
      <c r="A43" s="52"/>
      <c r="B43" s="12"/>
      <c r="C43" s="89"/>
      <c r="D43" s="90"/>
      <c r="E43" s="90"/>
      <c r="F43" s="90"/>
      <c r="G43" s="91"/>
      <c r="H43" s="13"/>
      <c r="I43" s="60"/>
      <c r="J43" s="60"/>
      <c r="K43" s="11"/>
      <c r="L43" s="52"/>
    </row>
    <row r="44" spans="1:12" ht="12.75" customHeight="1" x14ac:dyDescent="0.15">
      <c r="A44" s="52"/>
      <c r="B44" s="14"/>
      <c r="C44" s="88"/>
      <c r="D44" s="83"/>
      <c r="E44" s="83"/>
      <c r="F44" s="83"/>
      <c r="G44" s="84"/>
      <c r="H44" s="66"/>
      <c r="I44" s="60"/>
      <c r="J44" s="60"/>
      <c r="K44" s="11"/>
      <c r="L44" s="52"/>
    </row>
    <row r="45" spans="1:12" ht="12.75" customHeight="1" x14ac:dyDescent="0.15">
      <c r="A45" s="52"/>
      <c r="B45" s="15"/>
      <c r="C45" s="82"/>
      <c r="D45" s="83"/>
      <c r="E45" s="83"/>
      <c r="F45" s="83"/>
      <c r="G45" s="84"/>
      <c r="H45" s="66"/>
      <c r="I45" s="60"/>
      <c r="J45" s="60"/>
      <c r="K45" s="11"/>
      <c r="L45" s="52"/>
    </row>
    <row r="46" spans="1:12" ht="12.75" customHeight="1" x14ac:dyDescent="0.15">
      <c r="A46" s="52"/>
      <c r="B46" s="15"/>
      <c r="C46" s="82"/>
      <c r="D46" s="83"/>
      <c r="E46" s="83"/>
      <c r="F46" s="83"/>
      <c r="G46" s="84"/>
      <c r="H46" s="66"/>
      <c r="I46" s="60"/>
      <c r="J46" s="60"/>
      <c r="K46" s="11"/>
      <c r="L46" s="52"/>
    </row>
    <row r="47" spans="1:12" ht="12.75" customHeight="1" x14ac:dyDescent="0.15">
      <c r="A47" s="52"/>
      <c r="B47" s="15"/>
      <c r="C47" s="82"/>
      <c r="D47" s="83"/>
      <c r="E47" s="83"/>
      <c r="F47" s="83"/>
      <c r="G47" s="84"/>
      <c r="H47" s="66"/>
      <c r="I47" s="60"/>
      <c r="J47" s="60"/>
      <c r="K47" s="11"/>
      <c r="L47" s="52"/>
    </row>
    <row r="48" spans="1:12" ht="12.75" customHeight="1" x14ac:dyDescent="0.15">
      <c r="A48" s="52"/>
      <c r="B48" s="15"/>
      <c r="C48" s="82"/>
      <c r="D48" s="83"/>
      <c r="E48" s="83"/>
      <c r="F48" s="83"/>
      <c r="G48" s="84"/>
      <c r="H48" s="66"/>
      <c r="I48" s="60"/>
      <c r="J48" s="60"/>
      <c r="K48" s="11"/>
      <c r="L48" s="52"/>
    </row>
    <row r="49" spans="1:12" ht="12.75" customHeight="1" x14ac:dyDescent="0.15">
      <c r="A49" s="52"/>
      <c r="B49" s="16"/>
      <c r="C49" s="82"/>
      <c r="D49" s="83"/>
      <c r="E49" s="83"/>
      <c r="F49" s="83"/>
      <c r="G49" s="84"/>
      <c r="H49" s="66"/>
      <c r="I49" s="60"/>
      <c r="J49" s="60"/>
      <c r="K49" s="11"/>
      <c r="L49" s="52"/>
    </row>
    <row r="50" spans="1:12" ht="12.75" customHeight="1" x14ac:dyDescent="0.15">
      <c r="A50" s="52"/>
      <c r="B50" s="67"/>
      <c r="C50" s="68"/>
      <c r="D50" s="68"/>
      <c r="E50" s="68"/>
      <c r="F50" s="68"/>
      <c r="G50" s="17"/>
      <c r="H50" s="13"/>
      <c r="I50" s="60"/>
      <c r="J50" s="60"/>
      <c r="K50" s="11"/>
      <c r="L50" s="52"/>
    </row>
    <row r="51" spans="1:12" ht="12.75" customHeight="1" x14ac:dyDescent="0.15">
      <c r="A51" s="52"/>
      <c r="B51" s="16"/>
      <c r="C51" s="18"/>
      <c r="D51" s="18"/>
      <c r="E51" s="18"/>
      <c r="F51" s="18"/>
      <c r="G51" s="69"/>
      <c r="H51" s="13"/>
      <c r="I51" s="60"/>
      <c r="J51" s="60"/>
      <c r="K51" s="11"/>
      <c r="L51" s="52"/>
    </row>
    <row r="52" spans="1:12" ht="12.75" customHeight="1" x14ac:dyDescent="0.15">
      <c r="A52" s="52"/>
      <c r="B52" s="16"/>
      <c r="C52" s="18"/>
      <c r="D52" s="18"/>
      <c r="E52" s="18"/>
      <c r="F52" s="18"/>
      <c r="G52" s="69"/>
      <c r="H52" s="13"/>
      <c r="I52" s="60" t="s">
        <v>27</v>
      </c>
      <c r="J52" s="60"/>
      <c r="K52" s="11"/>
      <c r="L52" s="52"/>
    </row>
    <row r="53" spans="1:12" ht="12.75" customHeight="1" x14ac:dyDescent="0.15">
      <c r="A53" s="52"/>
      <c r="B53" s="70"/>
      <c r="C53" s="71"/>
      <c r="D53" s="71"/>
      <c r="E53" s="71"/>
      <c r="F53" s="71"/>
      <c r="G53" s="19"/>
      <c r="H53" s="20"/>
      <c r="I53" s="60"/>
      <c r="J53" s="60"/>
      <c r="K53" s="11"/>
      <c r="L53" s="52"/>
    </row>
    <row r="54" spans="1:12" ht="12.75" customHeight="1" x14ac:dyDescent="0.15">
      <c r="A54" s="52"/>
      <c r="B54" s="21"/>
      <c r="C54" s="22"/>
      <c r="D54" s="22"/>
      <c r="E54" s="22"/>
      <c r="F54" s="22"/>
      <c r="G54" s="23"/>
      <c r="H54" s="24"/>
      <c r="I54" s="22"/>
      <c r="J54" s="22"/>
      <c r="K54" s="23"/>
      <c r="L54" s="52"/>
    </row>
    <row r="55" spans="1:12" ht="12.75" hidden="1" customHeight="1" x14ac:dyDescent="0.15">
      <c r="A55" s="52"/>
      <c r="B55" s="25"/>
      <c r="C55" s="26"/>
      <c r="D55" s="26"/>
      <c r="E55" s="26"/>
      <c r="F55" s="26"/>
      <c r="G55" s="26"/>
      <c r="H55" s="72">
        <f>SUM(H14:H54)</f>
        <v>1368</v>
      </c>
      <c r="I55" s="26"/>
      <c r="J55" s="26"/>
      <c r="K55" s="73"/>
      <c r="L55" s="52"/>
    </row>
    <row r="56" spans="1:12" ht="12.75" customHeight="1" x14ac:dyDescent="0.15">
      <c r="A56" s="52"/>
      <c r="B56" s="85" t="s">
        <v>28</v>
      </c>
      <c r="C56" s="86"/>
      <c r="D56" s="87"/>
      <c r="E56" s="117" t="s">
        <v>29</v>
      </c>
      <c r="F56" s="90"/>
      <c r="G56" s="118"/>
      <c r="H56" s="27" t="s">
        <v>30</v>
      </c>
      <c r="I56" s="28" t="s">
        <v>31</v>
      </c>
      <c r="J56" s="28" t="s">
        <v>32</v>
      </c>
      <c r="K56" s="28" t="s">
        <v>33</v>
      </c>
      <c r="L56" s="52"/>
    </row>
    <row r="57" spans="1:12" ht="12.75" customHeight="1" x14ac:dyDescent="0.15">
      <c r="A57" s="52"/>
      <c r="B57" s="74"/>
      <c r="C57" s="54"/>
      <c r="D57" s="75"/>
      <c r="E57" s="76"/>
      <c r="F57" s="52"/>
      <c r="G57" s="29"/>
      <c r="H57" s="77"/>
      <c r="I57" s="30">
        <v>1.1000000000000001</v>
      </c>
      <c r="J57" s="31">
        <f>H14+H15+H16+H17+H18+H19+H20+H21+H22+H23+H24+H25+H26+H27+H28+H29+H30+H31+H32+H33+H34+H35+H36+H37+H38+H39+H40+H41+H42+H43+H44+H45+H46+H47+H48+H49+H50+H51</f>
        <v>1368</v>
      </c>
      <c r="K57" s="32">
        <f>I57*J57</f>
        <v>1504.8000000000002</v>
      </c>
      <c r="L57" s="52"/>
    </row>
    <row r="58" spans="1:12" ht="12.75" customHeight="1" x14ac:dyDescent="0.15">
      <c r="A58" s="52"/>
      <c r="B58" s="78"/>
      <c r="C58" s="52"/>
      <c r="D58" s="79"/>
      <c r="E58" s="76"/>
      <c r="F58" s="52"/>
      <c r="G58" s="29"/>
      <c r="H58" s="33"/>
      <c r="I58" s="34"/>
      <c r="J58" s="20"/>
      <c r="K58" s="35" t="str">
        <f t="shared" ref="K58:K59" si="0">IF(I58=0,"",I58*J58)</f>
        <v/>
      </c>
      <c r="L58" s="52"/>
    </row>
    <row r="59" spans="1:12" ht="12.75" customHeight="1" x14ac:dyDescent="0.15">
      <c r="A59" s="52"/>
      <c r="B59" s="78"/>
      <c r="C59" s="52"/>
      <c r="D59" s="79"/>
      <c r="E59" s="76"/>
      <c r="F59" s="52"/>
      <c r="G59" s="29"/>
      <c r="H59" s="36"/>
      <c r="I59" s="37"/>
      <c r="J59" s="38"/>
      <c r="K59" s="35" t="str">
        <f t="shared" si="0"/>
        <v/>
      </c>
      <c r="L59" s="52"/>
    </row>
    <row r="60" spans="1:12" ht="12.75" customHeight="1" x14ac:dyDescent="0.15">
      <c r="A60" s="52"/>
      <c r="B60" s="78"/>
      <c r="C60" s="52"/>
      <c r="D60" s="79"/>
      <c r="E60" s="76"/>
      <c r="F60" s="52"/>
      <c r="G60" s="29"/>
      <c r="H60" s="39" t="s">
        <v>34</v>
      </c>
      <c r="I60" s="40"/>
      <c r="J60" s="41"/>
      <c r="K60" s="42" t="str">
        <f>IF(H57=0,"",SUM(K57:K59))</f>
        <v/>
      </c>
      <c r="L60" s="52"/>
    </row>
    <row r="61" spans="1:12" ht="12.75" customHeight="1" x14ac:dyDescent="0.15">
      <c r="A61" s="52"/>
      <c r="B61" s="25"/>
      <c r="C61" s="26"/>
      <c r="D61" s="73"/>
      <c r="E61" s="43"/>
      <c r="F61" s="26"/>
      <c r="G61" s="44"/>
      <c r="H61" s="45"/>
      <c r="I61" s="46" t="s">
        <v>4</v>
      </c>
      <c r="J61" s="44"/>
      <c r="K61" s="47"/>
      <c r="L61" s="52"/>
    </row>
    <row r="62" spans="1:12" ht="12.75" customHeight="1" x14ac:dyDescent="0.15">
      <c r="A62" s="52"/>
      <c r="B62" s="53"/>
      <c r="C62" s="52"/>
      <c r="D62" s="52"/>
      <c r="E62" s="52"/>
      <c r="F62" s="52"/>
      <c r="G62" s="52"/>
      <c r="H62" s="54"/>
      <c r="I62" s="52"/>
      <c r="J62" s="52"/>
      <c r="K62" s="52"/>
      <c r="L62" s="52"/>
    </row>
    <row r="63" spans="1:12" ht="12.75" customHeight="1" x14ac:dyDescent="0.15">
      <c r="A63" s="52"/>
      <c r="B63" s="53"/>
      <c r="C63" s="52"/>
      <c r="D63" s="52"/>
      <c r="E63" s="52"/>
      <c r="F63" s="52"/>
      <c r="G63" s="52"/>
      <c r="H63" s="54"/>
      <c r="I63" s="52"/>
      <c r="J63" s="52"/>
      <c r="K63" s="52"/>
      <c r="L63" s="52"/>
    </row>
    <row r="64" spans="1:12" ht="12.75" customHeight="1" x14ac:dyDescent="0.15">
      <c r="A64" s="52"/>
      <c r="B64" s="119"/>
      <c r="C64" s="86"/>
      <c r="D64" s="86"/>
      <c r="E64" s="86"/>
      <c r="F64" s="86"/>
      <c r="G64" s="86"/>
      <c r="H64" s="86"/>
      <c r="I64" s="86"/>
      <c r="J64" s="86"/>
      <c r="K64" s="86"/>
      <c r="L64" s="52"/>
    </row>
    <row r="65" spans="1:12" ht="12.75" customHeight="1" x14ac:dyDescent="0.15">
      <c r="A65" s="52"/>
      <c r="B65" s="53"/>
      <c r="C65" s="52"/>
      <c r="D65" s="52"/>
      <c r="E65" s="52"/>
      <c r="F65" s="52"/>
      <c r="G65" s="52"/>
      <c r="H65" s="54"/>
      <c r="I65" s="52"/>
      <c r="J65" s="95" t="s">
        <v>35</v>
      </c>
      <c r="K65" s="96"/>
      <c r="L65" s="52"/>
    </row>
    <row r="66" spans="1:12" ht="12.75" customHeight="1" x14ac:dyDescent="0.15">
      <c r="A66" s="52"/>
      <c r="B66" s="48" t="s">
        <v>0</v>
      </c>
      <c r="C66" s="120"/>
      <c r="D66" s="83"/>
      <c r="E66" s="83"/>
      <c r="F66" s="84"/>
      <c r="G66" s="49" t="s">
        <v>1</v>
      </c>
      <c r="H66" s="49"/>
      <c r="I66" s="50" t="s">
        <v>2</v>
      </c>
      <c r="J66" s="121" t="s">
        <v>36</v>
      </c>
      <c r="K66" s="101"/>
      <c r="L66" s="52"/>
    </row>
    <row r="67" spans="1:12" ht="12.75" customHeight="1" x14ac:dyDescent="0.15">
      <c r="A67" s="52"/>
      <c r="B67" s="122" t="s">
        <v>37</v>
      </c>
      <c r="C67" s="90"/>
      <c r="D67" s="90"/>
      <c r="E67" s="90"/>
      <c r="F67" s="90"/>
      <c r="G67" s="90"/>
      <c r="H67" s="90"/>
      <c r="I67" s="123"/>
      <c r="J67" s="86"/>
      <c r="K67" s="101"/>
      <c r="L67" s="52"/>
    </row>
    <row r="68" spans="1:12" ht="12.75" customHeight="1" x14ac:dyDescent="0.15">
      <c r="A68" s="52"/>
      <c r="B68" s="124" t="s">
        <v>38</v>
      </c>
      <c r="C68" s="83"/>
      <c r="D68" s="84"/>
      <c r="E68" s="116" t="s">
        <v>39</v>
      </c>
      <c r="F68" s="83"/>
      <c r="G68" s="84"/>
      <c r="H68" s="116" t="s">
        <v>40</v>
      </c>
      <c r="I68" s="84"/>
      <c r="J68" s="86"/>
      <c r="K68" s="101"/>
      <c r="L68" s="52"/>
    </row>
    <row r="69" spans="1:12" ht="12.75" customHeight="1" x14ac:dyDescent="0.15">
      <c r="A69" s="52"/>
      <c r="B69" s="105">
        <v>46147</v>
      </c>
      <c r="C69" s="83"/>
      <c r="D69" s="84"/>
      <c r="E69" s="92">
        <v>38.799999999999997</v>
      </c>
      <c r="F69" s="83"/>
      <c r="G69" s="84"/>
      <c r="H69" s="92" t="s">
        <v>41</v>
      </c>
      <c r="I69" s="84"/>
      <c r="J69" s="115"/>
      <c r="K69" s="91"/>
      <c r="L69" s="52"/>
    </row>
    <row r="70" spans="1:12" ht="12.75" customHeight="1" x14ac:dyDescent="0.15">
      <c r="A70" s="52"/>
      <c r="B70" s="105">
        <v>46156</v>
      </c>
      <c r="C70" s="83"/>
      <c r="D70" s="84"/>
      <c r="E70" s="92">
        <v>38.799999999999997</v>
      </c>
      <c r="F70" s="83"/>
      <c r="G70" s="84"/>
      <c r="H70" s="92" t="s">
        <v>41</v>
      </c>
      <c r="I70" s="84"/>
      <c r="J70" s="110"/>
      <c r="K70" s="87"/>
      <c r="L70" s="52"/>
    </row>
    <row r="71" spans="1:12" ht="12.75" customHeight="1" x14ac:dyDescent="0.15">
      <c r="A71" s="52"/>
      <c r="B71" s="105">
        <v>46167</v>
      </c>
      <c r="C71" s="83"/>
      <c r="D71" s="84"/>
      <c r="E71" s="92">
        <v>38.799999999999997</v>
      </c>
      <c r="F71" s="83"/>
      <c r="G71" s="84"/>
      <c r="H71" s="92" t="s">
        <v>41</v>
      </c>
      <c r="I71" s="84"/>
      <c r="J71" s="110"/>
      <c r="K71" s="87"/>
      <c r="L71" s="52"/>
    </row>
    <row r="72" spans="1:12" ht="12.75" customHeight="1" x14ac:dyDescent="0.15">
      <c r="A72" s="52"/>
      <c r="B72" s="105">
        <v>46169</v>
      </c>
      <c r="C72" s="83"/>
      <c r="D72" s="84"/>
      <c r="E72" s="92">
        <v>24.2</v>
      </c>
      <c r="F72" s="83"/>
      <c r="G72" s="84"/>
      <c r="H72" s="92" t="s">
        <v>42</v>
      </c>
      <c r="I72" s="84"/>
      <c r="J72" s="110"/>
      <c r="K72" s="87"/>
      <c r="L72" s="52"/>
    </row>
    <row r="73" spans="1:12" ht="12.75" customHeight="1" x14ac:dyDescent="0.15">
      <c r="A73" s="52"/>
      <c r="B73" s="105"/>
      <c r="C73" s="83"/>
      <c r="D73" s="84"/>
      <c r="E73" s="92"/>
      <c r="F73" s="83"/>
      <c r="G73" s="84"/>
      <c r="H73" s="92"/>
      <c r="I73" s="84"/>
      <c r="J73" s="110"/>
      <c r="K73" s="87"/>
      <c r="L73" s="52"/>
    </row>
    <row r="74" spans="1:12" ht="12.75" customHeight="1" x14ac:dyDescent="0.15">
      <c r="A74" s="52"/>
      <c r="B74" s="105"/>
      <c r="C74" s="83"/>
      <c r="D74" s="84"/>
      <c r="E74" s="92"/>
      <c r="F74" s="83"/>
      <c r="G74" s="84"/>
      <c r="H74" s="92"/>
      <c r="I74" s="84"/>
      <c r="J74" s="107"/>
      <c r="K74" s="108"/>
      <c r="L74" s="52"/>
    </row>
    <row r="75" spans="1:12" ht="12.75" customHeight="1" x14ac:dyDescent="0.15">
      <c r="A75" s="52"/>
      <c r="B75" s="105"/>
      <c r="C75" s="83"/>
      <c r="D75" s="84"/>
      <c r="E75" s="92"/>
      <c r="F75" s="83"/>
      <c r="G75" s="84"/>
      <c r="H75" s="92"/>
      <c r="I75" s="84"/>
      <c r="J75" s="112" t="s">
        <v>43</v>
      </c>
      <c r="K75" s="114">
        <f>E69+E70+E71+E72+E73+E74+E75+E76</f>
        <v>140.6</v>
      </c>
      <c r="L75" s="52"/>
    </row>
    <row r="76" spans="1:12" ht="12.75" customHeight="1" x14ac:dyDescent="0.15">
      <c r="A76" s="52"/>
      <c r="B76" s="105"/>
      <c r="C76" s="83"/>
      <c r="D76" s="84"/>
      <c r="E76" s="92"/>
      <c r="F76" s="83"/>
      <c r="G76" s="84"/>
      <c r="H76" s="92"/>
      <c r="I76" s="84"/>
      <c r="J76" s="113"/>
      <c r="K76" s="113"/>
      <c r="L76" s="52"/>
    </row>
    <row r="77" spans="1:12" ht="12.75" customHeight="1" x14ac:dyDescent="0.15">
      <c r="A77" s="52"/>
      <c r="B77" s="80"/>
      <c r="C77" s="80"/>
      <c r="D77" s="80"/>
      <c r="E77" s="54"/>
      <c r="F77" s="54"/>
      <c r="G77" s="54"/>
      <c r="H77" s="54"/>
      <c r="I77" s="54"/>
      <c r="J77" s="51"/>
      <c r="K77" s="81"/>
      <c r="L77" s="52"/>
    </row>
    <row r="78" spans="1:12" ht="12.75" customHeight="1" x14ac:dyDescent="0.15">
      <c r="A78" s="52"/>
      <c r="B78" s="106" t="s">
        <v>44</v>
      </c>
      <c r="C78" s="90"/>
      <c r="D78" s="90"/>
      <c r="E78" s="90"/>
      <c r="F78" s="90"/>
      <c r="G78" s="90"/>
      <c r="H78" s="90"/>
      <c r="I78" s="90"/>
      <c r="J78" s="90"/>
      <c r="K78" s="91"/>
      <c r="L78" s="52"/>
    </row>
    <row r="79" spans="1:12" ht="12.75" customHeight="1" x14ac:dyDescent="0.15">
      <c r="A79" s="52"/>
      <c r="B79" s="107"/>
      <c r="C79" s="98"/>
      <c r="D79" s="98"/>
      <c r="E79" s="98"/>
      <c r="F79" s="98"/>
      <c r="G79" s="98"/>
      <c r="H79" s="98"/>
      <c r="I79" s="98"/>
      <c r="J79" s="98"/>
      <c r="K79" s="108"/>
      <c r="L79" s="52"/>
    </row>
    <row r="80" spans="1:12" ht="12.75" customHeight="1" x14ac:dyDescent="0.15">
      <c r="A80" s="52"/>
      <c r="B80" s="109"/>
      <c r="C80" s="90"/>
      <c r="D80" s="90"/>
      <c r="E80" s="90"/>
      <c r="F80" s="90"/>
      <c r="G80" s="90"/>
      <c r="H80" s="90"/>
      <c r="I80" s="90"/>
      <c r="J80" s="90"/>
      <c r="K80" s="91"/>
      <c r="L80" s="52"/>
    </row>
    <row r="81" spans="1:12" ht="12.75" customHeight="1" x14ac:dyDescent="0.15">
      <c r="A81" s="52"/>
      <c r="B81" s="110"/>
      <c r="C81" s="111"/>
      <c r="D81" s="111"/>
      <c r="E81" s="111"/>
      <c r="F81" s="111"/>
      <c r="G81" s="111"/>
      <c r="H81" s="111"/>
      <c r="I81" s="111"/>
      <c r="J81" s="111"/>
      <c r="K81" s="87"/>
      <c r="L81" s="52"/>
    </row>
    <row r="82" spans="1:12" ht="12.75" customHeight="1" x14ac:dyDescent="0.15">
      <c r="A82" s="52"/>
      <c r="B82" s="110"/>
      <c r="C82" s="111"/>
      <c r="D82" s="111"/>
      <c r="E82" s="111"/>
      <c r="F82" s="111"/>
      <c r="G82" s="111"/>
      <c r="H82" s="111"/>
      <c r="I82" s="111"/>
      <c r="J82" s="111"/>
      <c r="K82" s="87"/>
      <c r="L82" s="52"/>
    </row>
    <row r="83" spans="1:12" ht="12.75" customHeight="1" x14ac:dyDescent="0.15">
      <c r="A83" s="52"/>
      <c r="B83" s="110"/>
      <c r="C83" s="111"/>
      <c r="D83" s="111"/>
      <c r="E83" s="111"/>
      <c r="F83" s="111"/>
      <c r="G83" s="111"/>
      <c r="H83" s="111"/>
      <c r="I83" s="111"/>
      <c r="J83" s="111"/>
      <c r="K83" s="87"/>
      <c r="L83" s="52"/>
    </row>
    <row r="84" spans="1:12" ht="12.75" customHeight="1" x14ac:dyDescent="0.15">
      <c r="A84" s="52"/>
      <c r="B84" s="110"/>
      <c r="C84" s="111"/>
      <c r="D84" s="111"/>
      <c r="E84" s="111"/>
      <c r="F84" s="111"/>
      <c r="G84" s="111"/>
      <c r="H84" s="111"/>
      <c r="I84" s="111"/>
      <c r="J84" s="111"/>
      <c r="K84" s="87"/>
      <c r="L84" s="52"/>
    </row>
    <row r="85" spans="1:12" ht="12.75" customHeight="1" x14ac:dyDescent="0.15">
      <c r="A85" s="52"/>
      <c r="B85" s="110"/>
      <c r="C85" s="111"/>
      <c r="D85" s="111"/>
      <c r="E85" s="111"/>
      <c r="F85" s="111"/>
      <c r="G85" s="111"/>
      <c r="H85" s="111"/>
      <c r="I85" s="111"/>
      <c r="J85" s="111"/>
      <c r="K85" s="87"/>
      <c r="L85" s="52"/>
    </row>
    <row r="86" spans="1:12" ht="12.75" customHeight="1" x14ac:dyDescent="0.15">
      <c r="A86" s="52"/>
      <c r="B86" s="110"/>
      <c r="C86" s="111"/>
      <c r="D86" s="111"/>
      <c r="E86" s="111"/>
      <c r="F86" s="111"/>
      <c r="G86" s="111"/>
      <c r="H86" s="111"/>
      <c r="I86" s="111"/>
      <c r="J86" s="111"/>
      <c r="K86" s="87"/>
      <c r="L86" s="52"/>
    </row>
    <row r="87" spans="1:12" ht="12.75" customHeight="1" x14ac:dyDescent="0.15">
      <c r="A87" s="52"/>
      <c r="B87" s="110"/>
      <c r="C87" s="111"/>
      <c r="D87" s="111"/>
      <c r="E87" s="111"/>
      <c r="F87" s="111"/>
      <c r="G87" s="111"/>
      <c r="H87" s="111"/>
      <c r="I87" s="111"/>
      <c r="J87" s="111"/>
      <c r="K87" s="87"/>
      <c r="L87" s="52"/>
    </row>
    <row r="88" spans="1:12" ht="12.75" customHeight="1" x14ac:dyDescent="0.15">
      <c r="A88" s="52"/>
      <c r="B88" s="110"/>
      <c r="C88" s="111"/>
      <c r="D88" s="111"/>
      <c r="E88" s="111"/>
      <c r="F88" s="111"/>
      <c r="G88" s="111"/>
      <c r="H88" s="111"/>
      <c r="I88" s="111"/>
      <c r="J88" s="111"/>
      <c r="K88" s="87"/>
      <c r="L88" s="52"/>
    </row>
    <row r="89" spans="1:12" ht="12.75" customHeight="1" x14ac:dyDescent="0.15">
      <c r="A89" s="52"/>
      <c r="B89" s="110"/>
      <c r="C89" s="111"/>
      <c r="D89" s="111"/>
      <c r="E89" s="111"/>
      <c r="F89" s="111"/>
      <c r="G89" s="111"/>
      <c r="H89" s="111"/>
      <c r="I89" s="111"/>
      <c r="J89" s="111"/>
      <c r="K89" s="87"/>
      <c r="L89" s="52"/>
    </row>
    <row r="90" spans="1:12" ht="12.75" customHeight="1" x14ac:dyDescent="0.15">
      <c r="A90" s="52"/>
      <c r="B90" s="110"/>
      <c r="C90" s="111"/>
      <c r="D90" s="111"/>
      <c r="E90" s="111"/>
      <c r="F90" s="111"/>
      <c r="G90" s="111"/>
      <c r="H90" s="111"/>
      <c r="I90" s="111"/>
      <c r="J90" s="111"/>
      <c r="K90" s="87"/>
      <c r="L90" s="52"/>
    </row>
    <row r="91" spans="1:12" ht="12.75" customHeight="1" x14ac:dyDescent="0.15">
      <c r="A91" s="52"/>
      <c r="B91" s="110"/>
      <c r="C91" s="111"/>
      <c r="D91" s="111"/>
      <c r="E91" s="111"/>
      <c r="F91" s="111"/>
      <c r="G91" s="111"/>
      <c r="H91" s="111"/>
      <c r="I91" s="111"/>
      <c r="J91" s="111"/>
      <c r="K91" s="87"/>
      <c r="L91" s="52"/>
    </row>
    <row r="92" spans="1:12" ht="12.75" customHeight="1" x14ac:dyDescent="0.15">
      <c r="A92" s="52"/>
      <c r="B92" s="110"/>
      <c r="C92" s="111"/>
      <c r="D92" s="111"/>
      <c r="E92" s="111"/>
      <c r="F92" s="111"/>
      <c r="G92" s="111"/>
      <c r="H92" s="111"/>
      <c r="I92" s="111"/>
      <c r="J92" s="111"/>
      <c r="K92" s="87"/>
      <c r="L92" s="52"/>
    </row>
    <row r="93" spans="1:12" ht="12.75" customHeight="1" x14ac:dyDescent="0.15">
      <c r="A93" s="52"/>
      <c r="B93" s="110"/>
      <c r="C93" s="111"/>
      <c r="D93" s="111"/>
      <c r="E93" s="111"/>
      <c r="F93" s="111"/>
      <c r="G93" s="111"/>
      <c r="H93" s="111"/>
      <c r="I93" s="111"/>
      <c r="J93" s="111"/>
      <c r="K93" s="87"/>
      <c r="L93" s="52"/>
    </row>
    <row r="94" spans="1:12" ht="12.75" customHeight="1" x14ac:dyDescent="0.15">
      <c r="A94" s="52"/>
      <c r="B94" s="110"/>
      <c r="C94" s="111"/>
      <c r="D94" s="111"/>
      <c r="E94" s="111"/>
      <c r="F94" s="111"/>
      <c r="G94" s="111"/>
      <c r="H94" s="111"/>
      <c r="I94" s="111"/>
      <c r="J94" s="111"/>
      <c r="K94" s="87"/>
      <c r="L94" s="52"/>
    </row>
    <row r="95" spans="1:12" ht="12.75" customHeight="1" x14ac:dyDescent="0.15">
      <c r="A95" s="52"/>
      <c r="B95" s="110"/>
      <c r="C95" s="111"/>
      <c r="D95" s="111"/>
      <c r="E95" s="111"/>
      <c r="F95" s="111"/>
      <c r="G95" s="111"/>
      <c r="H95" s="111"/>
      <c r="I95" s="111"/>
      <c r="J95" s="111"/>
      <c r="K95" s="87"/>
      <c r="L95" s="52"/>
    </row>
    <row r="96" spans="1:12" ht="12.75" customHeight="1" x14ac:dyDescent="0.15">
      <c r="A96" s="52"/>
      <c r="B96" s="110"/>
      <c r="C96" s="111"/>
      <c r="D96" s="111"/>
      <c r="E96" s="111"/>
      <c r="F96" s="111"/>
      <c r="G96" s="111"/>
      <c r="H96" s="111"/>
      <c r="I96" s="111"/>
      <c r="J96" s="111"/>
      <c r="K96" s="87"/>
      <c r="L96" s="52"/>
    </row>
    <row r="97" spans="1:12" ht="12.75" customHeight="1" x14ac:dyDescent="0.15">
      <c r="A97" s="52"/>
      <c r="B97" s="110"/>
      <c r="C97" s="111"/>
      <c r="D97" s="111"/>
      <c r="E97" s="111"/>
      <c r="F97" s="111"/>
      <c r="G97" s="111"/>
      <c r="H97" s="111"/>
      <c r="I97" s="111"/>
      <c r="J97" s="111"/>
      <c r="K97" s="87"/>
      <c r="L97" s="52"/>
    </row>
    <row r="98" spans="1:12" ht="12.75" customHeight="1" x14ac:dyDescent="0.15">
      <c r="A98" s="52"/>
      <c r="B98" s="110"/>
      <c r="C98" s="111"/>
      <c r="D98" s="111"/>
      <c r="E98" s="111"/>
      <c r="F98" s="111"/>
      <c r="G98" s="111"/>
      <c r="H98" s="111"/>
      <c r="I98" s="111"/>
      <c r="J98" s="111"/>
      <c r="K98" s="87"/>
      <c r="L98" s="52"/>
    </row>
    <row r="99" spans="1:12" ht="12.75" customHeight="1" x14ac:dyDescent="0.15">
      <c r="A99" s="52"/>
      <c r="B99" s="110"/>
      <c r="C99" s="111"/>
      <c r="D99" s="111"/>
      <c r="E99" s="111"/>
      <c r="F99" s="111"/>
      <c r="G99" s="111"/>
      <c r="H99" s="111"/>
      <c r="I99" s="111"/>
      <c r="J99" s="111"/>
      <c r="K99" s="87"/>
      <c r="L99" s="52"/>
    </row>
    <row r="100" spans="1:12" ht="12.75" customHeight="1" x14ac:dyDescent="0.15">
      <c r="A100" s="52"/>
      <c r="B100" s="110"/>
      <c r="C100" s="111"/>
      <c r="D100" s="111"/>
      <c r="E100" s="111"/>
      <c r="F100" s="111"/>
      <c r="G100" s="111"/>
      <c r="H100" s="111"/>
      <c r="I100" s="111"/>
      <c r="J100" s="111"/>
      <c r="K100" s="87"/>
      <c r="L100" s="52"/>
    </row>
    <row r="101" spans="1:12" ht="12.75" customHeight="1" x14ac:dyDescent="0.15">
      <c r="A101" s="52"/>
      <c r="B101" s="110"/>
      <c r="C101" s="111"/>
      <c r="D101" s="111"/>
      <c r="E101" s="111"/>
      <c r="F101" s="111"/>
      <c r="G101" s="111"/>
      <c r="H101" s="111"/>
      <c r="I101" s="111"/>
      <c r="J101" s="111"/>
      <c r="K101" s="87"/>
      <c r="L101" s="52"/>
    </row>
    <row r="102" spans="1:12" ht="12.75" customHeight="1" x14ac:dyDescent="0.15">
      <c r="A102" s="52"/>
      <c r="B102" s="110"/>
      <c r="C102" s="111"/>
      <c r="D102" s="111"/>
      <c r="E102" s="111"/>
      <c r="F102" s="111"/>
      <c r="G102" s="111"/>
      <c r="H102" s="111"/>
      <c r="I102" s="111"/>
      <c r="J102" s="111"/>
      <c r="K102" s="87"/>
      <c r="L102" s="52"/>
    </row>
    <row r="103" spans="1:12" ht="12.75" customHeight="1" x14ac:dyDescent="0.15">
      <c r="A103" s="52"/>
      <c r="B103" s="110"/>
      <c r="C103" s="111"/>
      <c r="D103" s="111"/>
      <c r="E103" s="111"/>
      <c r="F103" s="111"/>
      <c r="G103" s="111"/>
      <c r="H103" s="111"/>
      <c r="I103" s="111"/>
      <c r="J103" s="111"/>
      <c r="K103" s="87"/>
      <c r="L103" s="52"/>
    </row>
    <row r="104" spans="1:12" ht="12.75" customHeight="1" x14ac:dyDescent="0.15">
      <c r="A104" s="52"/>
      <c r="B104" s="110"/>
      <c r="C104" s="111"/>
      <c r="D104" s="111"/>
      <c r="E104" s="111"/>
      <c r="F104" s="111"/>
      <c r="G104" s="111"/>
      <c r="H104" s="111"/>
      <c r="I104" s="111"/>
      <c r="J104" s="111"/>
      <c r="K104" s="87"/>
      <c r="L104" s="52"/>
    </row>
    <row r="105" spans="1:12" ht="12.75" customHeight="1" x14ac:dyDescent="0.15">
      <c r="A105" s="52"/>
      <c r="B105" s="110"/>
      <c r="C105" s="111"/>
      <c r="D105" s="111"/>
      <c r="E105" s="111"/>
      <c r="F105" s="111"/>
      <c r="G105" s="111"/>
      <c r="H105" s="111"/>
      <c r="I105" s="111"/>
      <c r="J105" s="111"/>
      <c r="K105" s="87"/>
      <c r="L105" s="52"/>
    </row>
    <row r="106" spans="1:12" ht="12.75" customHeight="1" x14ac:dyDescent="0.15">
      <c r="A106" s="52"/>
      <c r="B106" s="110"/>
      <c r="C106" s="111"/>
      <c r="D106" s="111"/>
      <c r="E106" s="111"/>
      <c r="F106" s="111"/>
      <c r="G106" s="111"/>
      <c r="H106" s="111"/>
      <c r="I106" s="111"/>
      <c r="J106" s="111"/>
      <c r="K106" s="87"/>
      <c r="L106" s="52"/>
    </row>
    <row r="107" spans="1:12" ht="12.75" customHeight="1" x14ac:dyDescent="0.15">
      <c r="A107" s="52"/>
      <c r="B107" s="110"/>
      <c r="C107" s="111"/>
      <c r="D107" s="111"/>
      <c r="E107" s="111"/>
      <c r="F107" s="111"/>
      <c r="G107" s="111"/>
      <c r="H107" s="111"/>
      <c r="I107" s="111"/>
      <c r="J107" s="111"/>
      <c r="K107" s="87"/>
      <c r="L107" s="52"/>
    </row>
    <row r="108" spans="1:12" ht="12.75" customHeight="1" x14ac:dyDescent="0.15">
      <c r="A108" s="52"/>
      <c r="B108" s="110"/>
      <c r="C108" s="111"/>
      <c r="D108" s="111"/>
      <c r="E108" s="111"/>
      <c r="F108" s="111"/>
      <c r="G108" s="111"/>
      <c r="H108" s="111"/>
      <c r="I108" s="111"/>
      <c r="J108" s="111"/>
      <c r="K108" s="87"/>
      <c r="L108" s="52"/>
    </row>
    <row r="109" spans="1:12" ht="12.75" customHeight="1" x14ac:dyDescent="0.15">
      <c r="A109" s="52"/>
      <c r="B109" s="110"/>
      <c r="C109" s="111"/>
      <c r="D109" s="111"/>
      <c r="E109" s="111"/>
      <c r="F109" s="111"/>
      <c r="G109" s="111"/>
      <c r="H109" s="111"/>
      <c r="I109" s="111"/>
      <c r="J109" s="111"/>
      <c r="K109" s="87"/>
      <c r="L109" s="52"/>
    </row>
    <row r="110" spans="1:12" ht="12.75" customHeight="1" x14ac:dyDescent="0.15">
      <c r="A110" s="52"/>
      <c r="B110" s="110"/>
      <c r="C110" s="111"/>
      <c r="D110" s="111"/>
      <c r="E110" s="111"/>
      <c r="F110" s="111"/>
      <c r="G110" s="111"/>
      <c r="H110" s="111"/>
      <c r="I110" s="111"/>
      <c r="J110" s="111"/>
      <c r="K110" s="87"/>
      <c r="L110" s="52"/>
    </row>
    <row r="111" spans="1:12" ht="12.75" customHeight="1" x14ac:dyDescent="0.15">
      <c r="A111" s="52"/>
      <c r="B111" s="110"/>
      <c r="C111" s="111"/>
      <c r="D111" s="111"/>
      <c r="E111" s="111"/>
      <c r="F111" s="111"/>
      <c r="G111" s="111"/>
      <c r="H111" s="111"/>
      <c r="I111" s="111"/>
      <c r="J111" s="111"/>
      <c r="K111" s="87"/>
      <c r="L111" s="52"/>
    </row>
    <row r="112" spans="1:12" ht="12.75" customHeight="1" x14ac:dyDescent="0.15">
      <c r="A112" s="52"/>
      <c r="B112" s="110"/>
      <c r="C112" s="111"/>
      <c r="D112" s="111"/>
      <c r="E112" s="111"/>
      <c r="F112" s="111"/>
      <c r="G112" s="111"/>
      <c r="H112" s="111"/>
      <c r="I112" s="111"/>
      <c r="J112" s="111"/>
      <c r="K112" s="87"/>
      <c r="L112" s="52"/>
    </row>
    <row r="113" spans="1:12" ht="12.75" customHeight="1" x14ac:dyDescent="0.15">
      <c r="A113" s="52"/>
      <c r="B113" s="110"/>
      <c r="C113" s="111"/>
      <c r="D113" s="111"/>
      <c r="E113" s="111"/>
      <c r="F113" s="111"/>
      <c r="G113" s="111"/>
      <c r="H113" s="111"/>
      <c r="I113" s="111"/>
      <c r="J113" s="111"/>
      <c r="K113" s="87"/>
      <c r="L113" s="52"/>
    </row>
    <row r="114" spans="1:12" ht="12.75" customHeight="1" x14ac:dyDescent="0.15">
      <c r="A114" s="52"/>
      <c r="B114" s="110"/>
      <c r="C114" s="111"/>
      <c r="D114" s="111"/>
      <c r="E114" s="111"/>
      <c r="F114" s="111"/>
      <c r="G114" s="111"/>
      <c r="H114" s="111"/>
      <c r="I114" s="111"/>
      <c r="J114" s="111"/>
      <c r="K114" s="87"/>
      <c r="L114" s="52"/>
    </row>
    <row r="115" spans="1:12" ht="12.75" customHeight="1" x14ac:dyDescent="0.15">
      <c r="A115" s="52"/>
      <c r="B115" s="110"/>
      <c r="C115" s="111"/>
      <c r="D115" s="111"/>
      <c r="E115" s="111"/>
      <c r="F115" s="111"/>
      <c r="G115" s="111"/>
      <c r="H115" s="111"/>
      <c r="I115" s="111"/>
      <c r="J115" s="111"/>
      <c r="K115" s="87"/>
      <c r="L115" s="52"/>
    </row>
    <row r="116" spans="1:12" ht="12.75" customHeight="1" x14ac:dyDescent="0.15">
      <c r="A116" s="52"/>
      <c r="B116" s="110"/>
      <c r="C116" s="111"/>
      <c r="D116" s="111"/>
      <c r="E116" s="111"/>
      <c r="F116" s="111"/>
      <c r="G116" s="111"/>
      <c r="H116" s="111"/>
      <c r="I116" s="111"/>
      <c r="J116" s="111"/>
      <c r="K116" s="87"/>
      <c r="L116" s="52"/>
    </row>
    <row r="117" spans="1:12" ht="12.75" customHeight="1" x14ac:dyDescent="0.15">
      <c r="A117" s="52"/>
      <c r="B117" s="110"/>
      <c r="C117" s="111"/>
      <c r="D117" s="111"/>
      <c r="E117" s="111"/>
      <c r="F117" s="111"/>
      <c r="G117" s="111"/>
      <c r="H117" s="111"/>
      <c r="I117" s="111"/>
      <c r="J117" s="111"/>
      <c r="K117" s="87"/>
      <c r="L117" s="52"/>
    </row>
    <row r="118" spans="1:12" ht="12.75" customHeight="1" x14ac:dyDescent="0.15">
      <c r="A118" s="52"/>
      <c r="B118" s="110"/>
      <c r="C118" s="111"/>
      <c r="D118" s="111"/>
      <c r="E118" s="111"/>
      <c r="F118" s="111"/>
      <c r="G118" s="111"/>
      <c r="H118" s="111"/>
      <c r="I118" s="111"/>
      <c r="J118" s="111"/>
      <c r="K118" s="87"/>
      <c r="L118" s="52"/>
    </row>
    <row r="119" spans="1:12" ht="12.75" customHeight="1" x14ac:dyDescent="0.15">
      <c r="A119" s="52"/>
      <c r="B119" s="110"/>
      <c r="C119" s="111"/>
      <c r="D119" s="111"/>
      <c r="E119" s="111"/>
      <c r="F119" s="111"/>
      <c r="G119" s="111"/>
      <c r="H119" s="111"/>
      <c r="I119" s="111"/>
      <c r="J119" s="111"/>
      <c r="K119" s="87"/>
      <c r="L119" s="52"/>
    </row>
    <row r="120" spans="1:12" ht="12.75" customHeight="1" x14ac:dyDescent="0.15">
      <c r="A120" s="52"/>
      <c r="B120" s="110"/>
      <c r="C120" s="111"/>
      <c r="D120" s="111"/>
      <c r="E120" s="111"/>
      <c r="F120" s="111"/>
      <c r="G120" s="111"/>
      <c r="H120" s="111"/>
      <c r="I120" s="111"/>
      <c r="J120" s="111"/>
      <c r="K120" s="87"/>
      <c r="L120" s="52"/>
    </row>
    <row r="121" spans="1:12" ht="12.75" customHeight="1" x14ac:dyDescent="0.15">
      <c r="A121" s="52"/>
      <c r="B121" s="107"/>
      <c r="C121" s="98"/>
      <c r="D121" s="98"/>
      <c r="E121" s="98"/>
      <c r="F121" s="98"/>
      <c r="G121" s="98"/>
      <c r="H121" s="98"/>
      <c r="I121" s="98"/>
      <c r="J121" s="98"/>
      <c r="K121" s="108"/>
      <c r="L121" s="52"/>
    </row>
    <row r="122" spans="1:12" ht="15.75" customHeight="1" x14ac:dyDescent="0.15"/>
    <row r="123" spans="1:12" ht="15.75" customHeight="1" x14ac:dyDescent="0.15"/>
    <row r="124" spans="1:12" ht="15.75" customHeight="1" x14ac:dyDescent="0.15"/>
    <row r="125" spans="1:12" ht="15.75" customHeight="1" x14ac:dyDescent="0.15"/>
    <row r="126" spans="1:12" ht="15.75" customHeight="1" x14ac:dyDescent="0.15"/>
    <row r="127" spans="1:12" ht="15.75" customHeight="1" x14ac:dyDescent="0.15"/>
    <row r="128" spans="1:12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87">
    <mergeCell ref="E68:G68"/>
    <mergeCell ref="H68:I68"/>
    <mergeCell ref="E56:G56"/>
    <mergeCell ref="B64:K64"/>
    <mergeCell ref="J65:K65"/>
    <mergeCell ref="C66:F66"/>
    <mergeCell ref="J66:K68"/>
    <mergeCell ref="B67:I67"/>
    <mergeCell ref="B68:D68"/>
    <mergeCell ref="E72:G72"/>
    <mergeCell ref="H72:I72"/>
    <mergeCell ref="E73:G73"/>
    <mergeCell ref="H73:I73"/>
    <mergeCell ref="B69:D69"/>
    <mergeCell ref="E69:G69"/>
    <mergeCell ref="B70:D70"/>
    <mergeCell ref="B71:D71"/>
    <mergeCell ref="E70:G70"/>
    <mergeCell ref="H70:I70"/>
    <mergeCell ref="E71:G71"/>
    <mergeCell ref="H71:I71"/>
    <mergeCell ref="H69:I69"/>
    <mergeCell ref="B72:D72"/>
    <mergeCell ref="B78:K79"/>
    <mergeCell ref="B80:K121"/>
    <mergeCell ref="E74:G74"/>
    <mergeCell ref="H74:I74"/>
    <mergeCell ref="E75:G75"/>
    <mergeCell ref="H75:I75"/>
    <mergeCell ref="J75:J76"/>
    <mergeCell ref="K75:K76"/>
    <mergeCell ref="H76:I76"/>
    <mergeCell ref="B74:D74"/>
    <mergeCell ref="B75:D75"/>
    <mergeCell ref="B76:D76"/>
    <mergeCell ref="B73:D73"/>
    <mergeCell ref="E76:G76"/>
    <mergeCell ref="J69:K74"/>
    <mergeCell ref="J8:K8"/>
    <mergeCell ref="B9:F9"/>
    <mergeCell ref="G9:H9"/>
    <mergeCell ref="J9:K11"/>
    <mergeCell ref="B11:E11"/>
    <mergeCell ref="F11:G11"/>
    <mergeCell ref="I13:K13"/>
    <mergeCell ref="C13:G13"/>
    <mergeCell ref="C14:G14"/>
    <mergeCell ref="I14:K14"/>
    <mergeCell ref="C15:G15"/>
    <mergeCell ref="I15:K15"/>
    <mergeCell ref="C16:G16"/>
    <mergeCell ref="I17:K17"/>
    <mergeCell ref="C17:G17"/>
    <mergeCell ref="C18:G18"/>
    <mergeCell ref="I18:K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9:G49"/>
    <mergeCell ref="B56:D56"/>
    <mergeCell ref="C44:G44"/>
    <mergeCell ref="C45:G45"/>
    <mergeCell ref="C46:G46"/>
    <mergeCell ref="C47:G47"/>
    <mergeCell ref="C48:G48"/>
  </mergeCells>
  <pageMargins left="0.78740157480314965" right="0.78740157480314965" top="0.98425196850393704" bottom="0.98425196850393704" header="0" footer="0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Incepa Revestimentos Cerâmicos Ltda</dc:creator>
  <cp:keywords/>
  <dc:description/>
  <cp:lastModifiedBy>Junior Vicente</cp:lastModifiedBy>
  <cp:revision/>
  <dcterms:created xsi:type="dcterms:W3CDTF">2007-07-02T16:56:17Z</dcterms:created>
  <dcterms:modified xsi:type="dcterms:W3CDTF">2026-06-01T02:21:30Z</dcterms:modified>
  <cp:category/>
  <cp:contentStatus/>
</cp:coreProperties>
</file>